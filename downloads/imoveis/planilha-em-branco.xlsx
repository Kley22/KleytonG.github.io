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9bd0ba3d6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9b60e5b5d8db4e9f"/>
    <x:sheet xmlns:r="http://schemas.openxmlformats.org/officeDocument/2006/relationships" name="Imoveis" sheetId="2" r:id="R6699b2f766cc469d"/>
    <x:sheet xmlns:r="http://schemas.openxmlformats.org/officeDocument/2006/relationships" name="Obrigacoes" sheetId="3" r:id="R7c4bc44cb0694490"/>
    <x:sheet xmlns:r="http://schemas.openxmlformats.org/officeDocument/2006/relationships" name="Auxiliar" sheetId="4" r:id="R4397ea16cc68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/yyyy"/>
    <x:numFmt numFmtId="202" formatCode="mmm/yyyy"/>
    <x:numFmt numFmtId="203" formatCode="&quot;R$ &quot;#,##0.00;[Red](&quot;R$ &quot;#,##0.00);&quot;R$ &quot;0.00"/>
  </x:numFmts>
  <x:fonts count="8">
    <x:font>
      <x:sz val="11"/>
      <x:name val="Carlito"/>
    </x:font>
    <x:font>
      <x:sz val="11"/>
      <x:color rgb="FF243830"/>
      <x:name val="Arial"/>
    </x:font>
    <x:font>
      <x:b/>
      <x:sz val="16"/>
      <x:color rgb="FF204D40"/>
      <x:name val="Arial"/>
    </x:font>
    <x:font>
      <x:b/>
      <x:sz val="11"/>
      <x:color rgb="FFFFFFFF"/>
      <x:name val="Arial"/>
    </x:font>
    <x:font>
      <x:sz val="11"/>
      <x:color rgb="FF1751A2"/>
      <x:name val="Arial"/>
    </x:font>
    <x:font>
      <x:sz val="11"/>
      <x:color rgb="FF204D40"/>
      <x:name val="Arial"/>
    </x:font>
    <x:font>
      <x:sz val="10"/>
      <x:color rgb="FF566B5F"/>
      <x:name val="Arial"/>
    </x:font>
    <x:font>
      <x:b/>
      <x:sz val="11"/>
      <x:color rgb="FF204D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5ED"/>
      </x:patternFill>
    </x:fill>
    <x:fill>
      <x:patternFill patternType="solid">
        <x:fgColor rgb="FF204D40"/>
      </x:patternFill>
    </x:fill>
    <x:fill>
      <x:patternFill patternType="solid">
        <x:fgColor rgb="FFFFF3CE"/>
      </x:patternFill>
    </x:fill>
    <x:fill>
      <x:patternFill patternType="solid">
        <x:fgColor rgb="FFEDF3EE"/>
      </x:patternFill>
    </x:fill>
  </x:fills>
  <x:borders count="2">
    <x:border/>
    <x:border>
      <x:bottom style="thin">
        <x:color rgb="FF204D4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3" fontId="7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2"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f8bb9d10c446f" /><Relationship Type="http://schemas.openxmlformats.org/officeDocument/2006/relationships/theme" Target="/xl/theme/theme1.xml" Id="Ra45443a7d2da4bb6" /><Relationship Type="http://schemas.openxmlformats.org/officeDocument/2006/relationships/sharedStrings" Target="/xl/sharedStrings.xml" Id="Rc2be43122de640de" /><Relationship Type="http://schemas.openxmlformats.org/officeDocument/2006/relationships/worksheet" Target="/xl/worksheets/sheet1.xml" Id="R9b60e5b5d8db4e9f" /><Relationship Type="http://schemas.openxmlformats.org/officeDocument/2006/relationships/worksheet" Target="/xl/worksheets/sheet2.xml" Id="R6699b2f766cc469d" /><Relationship Type="http://schemas.openxmlformats.org/officeDocument/2006/relationships/worksheet" Target="/xl/worksheets/sheet3.xml" Id="R7c4bc44cb0694490" /><Relationship Type="http://schemas.openxmlformats.org/officeDocument/2006/relationships/worksheet" Target="/xl/worksheets/sheet4.xml" Id="R4397ea16cc6848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26d99b3c564d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Pago e em aberto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Valor (R$)</c:v>
          </c:tx>
          <c:cat>
            <c:strRef>
              <c:f>'Painel'!$A$21:$A$22</c:f>
              <c:strCache>
                <c:ptCount val="0"/>
              </c:strCache>
            </c:strRef>
          </c:cat>
          <c:val>
            <c:numRef>
              <c:f>'Painel'!$B$21:$B$22</c:f>
              <c:numCache>
                <c:formatCode>"R$ "#,##0.00;[Red]("R$ "#,##0.00);"R$ "0.00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26d99b3c564d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Imoveis" displayName="TabelaImoveis" ref="A6:I56" headerRowCount="1" totalsRowCount="0" totalsRowShown="0">
  <x:autoFilter ref="A6:I56"/>
  <x:tableColumns count="9">
    <x:tableColumn id="1" name="ID imóvel"/>
    <x:tableColumn id="2" name="Unidade"/>
    <x:tableColumn id="3" name="Tipo"/>
    <x:tableColumn id="4" name="Contrato de locação"/>
    <x:tableColumn id="5" name="Início"/>
    <x:tableColumn id="6" name="Fim"/>
    <x:tableColumn id="7" name="Dias até o fim"/>
    <x:tableColumn id="8" name="Prazo"/>
    <x:tableColumn id="9" name="Cadast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Obrigacoes" displayName="TabelaObrigacoes" ref="A6:J56" headerRowCount="1" totalsRowCount="0" totalsRowShown="0">
  <x:autoFilter ref="A6:J56"/>
  <x:tableColumns count="10">
    <x:tableColumn id="1" name="ID obrigação"/>
    <x:tableColumn id="2" name="Imóvel"/>
    <x:tableColumn id="3" name="Tipo de obrigação"/>
    <x:tableColumn id="4" name="Competência"/>
    <x:tableColumn id="5" name="Valor (R$)"/>
    <x:tableColumn id="6" name="Vencimento"/>
    <x:tableColumn id="7" name="Data de pagamento"/>
    <x:tableColumn id="8" name="Documentos"/>
    <x:tableColumn id="9" name="Situação na referência"/>
    <x:tableColumn id="10" name="Cadas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6ef677f64e40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ff7fc2f275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f536eb92dd4b6b" /></Relationships>
</file>

<file path=xl/worksheets/sheet1.xml><?xml version="1.0" encoding="utf-8"?>
<x:worksheet xmlns:x="http://schemas.openxmlformats.org/spreadsheetml/2006/main">
  <x:sheetPr>
    <x:tabColor rgb="FF204D40"/>
  </x:sheetPr>
  <x:sheetViews>
    <x:sheetView showGridLines="0" workbookViewId="0"/>
  </x:sheetViews>
  <x:sheetFormatPr defaultRowHeight="15"/>
  <x:cols>
    <x:col min="1" max="1" width="33" hidden="0" customWidth="1"/>
    <x:col min="2" max="2" width="22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5" t="str">
        <x:v>Imóveis e obrigações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4" t="str">
        <x:v>Competência</x:v>
      </x:c>
      <x:c r="B3" s="27" t="n">
        <x:f>IF('Auxiliar'!B8="OK",'Auxiliar'!B6,"Informar no Auxiliar")</x:f>
        <x:v>46266</x:v>
      </x:c>
      <x:c r="C3" s="4"/>
      <x:c r="D3" s="4" t="str">
        <x:v>Referência</x:v>
      </x:c>
      <x:c r="E3" s="4"/>
      <x:c r="F3" s="28" t="n">
        <x:f>IF('Auxiliar'!B8="OK",'Auxiliar'!B5,"")</x:f>
        <x:v>46282</x:v>
      </x:c>
      <x:c r="G3" s="4"/>
      <x:c r="H3" s="4"/>
      <x:c r="I3" s="4"/>
      <x:c r="J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3" customHeight="1">
      <x:c r="A6" s="19" t="str">
        <x:v>Pagamentos do mês</x:v>
      </x:c>
      <x:c r="B6" s="19" t="str">
        <x:v>Valor</x:v>
      </x:c>
      <x:c r="C6" s="3"/>
      <x:c r="D6" s="3"/>
      <x:c r="E6" s="3"/>
      <x:c r="F6" s="3"/>
      <x:c r="G6" s="3"/>
      <x:c r="H6" s="3"/>
      <x:c r="I6" s="3"/>
      <x:c r="J6" s="3"/>
    </x:row>
    <x:row r="7" ht="28" customHeight="1">
      <x:c r="A7" s="3" t="str">
        <x:v>Total previsto</x:v>
      </x:c>
      <x:c r="B7" s="31" t="str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))))</x:f>
      </x:c>
      <x:c r="C7" s="3"/>
      <x:c r="D7" s="3"/>
      <x:c r="E7" s="3"/>
      <x:c r="F7" s="3"/>
      <x:c r="G7" s="3"/>
      <x:c r="H7" s="3"/>
      <x:c r="I7" s="3"/>
      <x:c r="J7" s="3"/>
    </x:row>
    <x:row r="8" ht="28" customHeight="1">
      <x:c r="A8" s="3" t="str">
        <x:v>Pago até a referência</x:v>
      </x:c>
      <x:c r="B8" s="31" t="str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,'Obrigacoes'!$I$7:$I$56,"Pago"))))</x:f>
      </x:c>
      <x:c r="C8" s="3"/>
      <x:c r="D8" s="3"/>
      <x:c r="E8" s="3"/>
      <x:c r="F8" s="3"/>
      <x:c r="G8" s="3"/>
      <x:c r="H8" s="3"/>
      <x:c r="I8" s="3"/>
      <x:c r="J8" s="3"/>
    </x:row>
    <x:row r="9" ht="28" customHeight="1">
      <x:c r="A9" s="3" t="str">
        <x:v>Em aberto</x:v>
      </x:c>
      <x:c r="B9" s="31" t="str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,'Obrigacoes'!$I$7:$I$56,"&lt;&gt;Pago"))))</x:f>
      </x:c>
      <x:c r="C9" s="3"/>
      <x:c r="D9" s="3"/>
      <x:c r="E9" s="3"/>
      <x:c r="F9" s="3"/>
      <x:c r="G9" s="3"/>
      <x:c r="H9" s="3"/>
      <x:c r="I9" s="3"/>
      <x:c r="J9" s="3"/>
    </x:row>
    <x:row r="10" ht="28" customHeight="1">
      <x:c r="A10" s="3" t="str">
        <x:v>Vencido e não pago</x:v>
      </x:c>
      <x:c r="B10" s="31" t="str">
        <x:f>IF('Auxiliar'!B8&lt;&gt;"OK","Conferir Auxiliar",IF(ROWS('Obrigacoes'!$J$7:$J$56)-COUNTBLANK('Obrigacoes'!$J$7:$J$56)-COUNTIFS('Obrigacoes'!$J$7:$J$56,"OK")&gt;0,"Revisar dados",IF(COUNTIFS('Obrigacoes'!$D$7:$D$56,"&gt;="&amp;'Auxiliar'!$B$6,'Obrigacoes'!$D$7:$D$56,"&lt;"&amp;EDATE('Auxiliar'!$B$6,1))=0,"",SUMIFS('Obrigacoes'!$E$7:$E$56,'Obrigacoes'!$D$7:$D$56,"&gt;="&amp;'Auxiliar'!$B$6,'Obrigacoes'!$D$7:$D$56,"&lt;"&amp;EDATE('Auxiliar'!$B$6,1),'Obrigacoes'!$I$7:$I$56,"Vencido"))))</x:f>
      </x:c>
      <x:c r="C10" s="3"/>
      <x:c r="D10" s="3"/>
      <x:c r="E10" s="3"/>
      <x:c r="F10" s="3"/>
      <x:c r="G10" s="3"/>
      <x:c r="H10" s="3"/>
      <x:c r="I10" s="3"/>
      <x:c r="J10" s="3"/>
    </x:row>
    <x:row r="11" ht="2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8" customHeight="1">
      <x:c r="A12" s="3" t="str">
        <x:v>Documentação pendente</x:v>
      </x:c>
      <x:c r="B12" s="3" t="str">
        <x:f>IF(COUNTIFS('Obrigacoes'!$D$7:$D$56,"&gt;="&amp;'Auxiliar'!$B$6,'Obrigacoes'!$D$7:$D$56,"&lt;"&amp;EDATE('Auxiliar'!$B$6,1))=0,"",COUNTIFS('Obrigacoes'!$D$7:$D$56,"&gt;="&amp;'Auxiliar'!$B$6,'Obrigacoes'!$D$7:$D$56,"&lt;"&amp;EDATE('Auxiliar'!$B$6,1),'Obrigacoes'!$H$7:$H$56,"Pendente"))</x:f>
      </x:c>
      <x:c r="C12" s="3"/>
      <x:c r="D12" s="3"/>
      <x:c r="E12" s="3"/>
      <x:c r="F12" s="3"/>
      <x:c r="G12" s="3"/>
      <x:c r="H12" s="3"/>
      <x:c r="I12" s="3"/>
      <x:c r="J12" s="3"/>
    </x:row>
    <x:row r="13" ht="28" customHeight="1">
      <x:c r="A13" s="3" t="str">
        <x:v>Cadastros para corrigir</x:v>
      </x:c>
      <x:c r="B13" s="3" t="str">
        <x:f>IF(ROWS('Obrigacoes'!$J$7:$J$56)-COUNTBLANK('Obrigacoes'!$J$7:$J$56)=0,"",ROWS('Obrigacoes'!$J$7:$J$56)-COUNTBLANK('Obrigacoes'!$J$7:$J$56)-COUNTIFS('Obrigacoes'!$J$7:$J$56,"OK"))</x:f>
      </x:c>
      <x:c r="C13" s="3"/>
      <x:c r="D13" s="3"/>
      <x:c r="E13" s="3"/>
      <x:c r="F13" s="3"/>
      <x:c r="G13" s="3"/>
      <x:c r="H13" s="3"/>
      <x:c r="I13" s="3"/>
      <x:c r="J13" s="3"/>
    </x:row>
    <x:row r="14" ht="28" customHeight="1">
      <x:c r="A14" s="3" t="str">
        <x:v>Outros cadastros para corrigir</x:v>
      </x:c>
      <x:c r="B14" s="3" t="str">
        <x:f>IF(COUNTA('Imoveis'!A7:F56)=0,"",(ROWS('Imoveis'!I7:I56)-COUNTBLANK('Imoveis'!I7:I56)-COUNTIFS('Imoveis'!I7:I56,"OK")))</x:f>
      </x:c>
      <x:c r="C14" s="3"/>
      <x:c r="D14" s="3"/>
      <x:c r="E14" s="3"/>
      <x:c r="F14" s="3"/>
      <x:c r="G14" s="3"/>
      <x:c r="H14" s="3"/>
      <x:c r="I14" s="3"/>
      <x:c r="J14" s="3"/>
    </x:row>
    <x:row r="15" ht="28" customHeight="1">
      <x:c r="A15" s="3" t="str">
        <x:v>Comece pelo Auxiliar</x:v>
      </x:c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8" customHeight="1">
      <x:c r="A16" s="3" t="str">
        <x:v>Depois preencha as abas amarelas.</x:v>
      </x:c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8" customHeight="1">
      <x:c r="A17" s="3" t="str">
        <x:v>Use os filtros na linha 6 das tabelas.</x:v>
      </x:c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8" customHeight="1">
      <x:c r="A19" s="3" t="str">
        <x:v>Composição do mês</x:v>
      </x:c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8" customHeight="1">
      <x:c r="A20" s="3" t="str">
        <x:v>Situação</x:v>
      </x:c>
      <x:c r="B20" s="3" t="str">
        <x:v>Valor (R$)</x:v>
      </x:c>
      <x:c r="C20" s="3"/>
      <x:c r="D20" s="3"/>
      <x:c r="E20" s="3"/>
      <x:c r="F20" s="3"/>
      <x:c r="G20" s="3"/>
      <x:c r="H20" s="3"/>
      <x:c r="I20" s="3"/>
      <x:c r="J20" s="3"/>
    </x:row>
    <x:row r="21" ht="28" customHeight="1">
      <x:c r="A21" s="3" t="str">
        <x:v>Pago</x:v>
      </x:c>
      <x:c r="B21" s="30" t="str">
        <x:f>IF(ISNUMBER(B8),B8,"")</x:f>
      </x:c>
      <x:c r="C21" s="3"/>
      <x:c r="D21" s="3"/>
      <x:c r="E21" s="3"/>
      <x:c r="F21" s="3"/>
      <x:c r="G21" s="3"/>
      <x:c r="H21" s="3"/>
      <x:c r="I21" s="3"/>
      <x:c r="J21" s="3"/>
    </x:row>
    <x:row r="22" ht="28" customHeight="1">
      <x:c r="A22" s="3" t="str">
        <x:v>Em aberto</x:v>
      </x:c>
      <x:c r="B22" s="30" t="str">
        <x:f>IF(ISNUMBER(B9),B9,"")</x:f>
      </x:c>
      <x:c r="C22" s="3"/>
      <x:c r="D22" s="3"/>
      <x:c r="E22" s="3"/>
      <x:c r="F22" s="3"/>
      <x:c r="G22" s="3"/>
      <x:c r="H22" s="3"/>
      <x:c r="I22" s="3"/>
      <x:c r="J22" s="3"/>
    </x:row>
    <x:row r="23" ht="2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8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28" customHeight="1">
      <x:c r="A25" s="3" t="str">
        <x:v>Imóveis locados</x:v>
      </x:c>
      <x:c r="B25" s="3" t="str">
        <x:f>IF(COUNTA(Imoveis!A7:A56)=0,"",COUNTIFS(Imoveis!C7:C56,"Locado"))</x:f>
      </x:c>
      <x:c r="C25" s="3"/>
      <x:c r="D25" s="3"/>
      <x:c r="E25" s="3"/>
      <x:c r="F25" s="3"/>
      <x:c r="G25" s="3"/>
      <x:c r="H25" s="3"/>
      <x:c r="I25" s="3"/>
      <x:c r="J25" s="3"/>
    </x:row>
    <x:row r="26" ht="28" customHeight="1">
      <x:c r="A26" s="3" t="str">
        <x:v>Imóveis próprios</x:v>
      </x:c>
      <x:c r="B26" s="3" t="str">
        <x:f>IF(COUNTA(Imoveis!A7:A56)=0,"",COUNTIFS(Imoveis!C7:C56,"Próprio"))</x:f>
      </x:c>
      <x:c r="C26" s="3"/>
      <x:c r="D26" s="3"/>
      <x:c r="E26" s="3"/>
      <x:c r="F26" s="3"/>
      <x:c r="G26" s="3"/>
      <x:c r="H26" s="3"/>
      <x:c r="I26" s="3"/>
      <x:c r="J26" s="3"/>
    </x:row>
    <x:row r="27" ht="28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8" customHeight="1">
      <x:c r="A28" s="3" t="str">
        <x:v>Locações com prazo próximo</x:v>
      </x:c>
      <x:c r="B28" s="3" t="str">
        <x:f>IF(COUNTA(Imoveis!A7:A56)=0,"",COUNTIFS(Imoveis!C7:C56,"Locado",Imoveis!G7:G56,"&lt;=30",Imoveis!I7:I56,"OK"))</x:f>
      </x:c>
      <x:c r="C28" s="3"/>
      <x:c r="D28" s="3"/>
      <x:c r="E28" s="3"/>
      <x:c r="F28" s="3"/>
      <x:c r="G28" s="3"/>
      <x:c r="H28" s="3"/>
      <x:c r="I28" s="3"/>
      <x:c r="J28" s="3"/>
    </x:row>
    <x:row r="29" ht="28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8" customHeight="1">
      <x:c r="A30" s="3" t="str">
        <x:v>Imóveis próprios não têm aluguel.</x:v>
      </x:c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8" customHeight="1">
      <x:c r="A31" s="3" t="str">
        <x:v>Documentos e pagamento têm situações separadas.</x:v>
      </x:c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8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8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</x:sheetData>
  <x:conditionalFormatting sqref="B7:B13">
    <x:cfRule type="containsText" dxfId="30" priority="1" operator="containsText" text="Vencido"/>
    <x:cfRule type="containsText" dxfId="31" priority="2" operator="containsText" text="Vence hoje"/>
    <x:cfRule type="containsText" dxfId="32" priority="3" operator="containsText" text="Revisar"/>
    <x:cfRule type="containsText" dxfId="33" priority="4" operator="containsText" text="Incompleto"/>
    <x:cfRule type="containsText" dxfId="34" priority="5" operator="containsText" text="Duplicado"/>
    <x:cfRule type="containsText" dxfId="35" priority="6" operator="containsText" text="Sem cadastro"/>
    <x:cfRule type="containsText" dxfId="36" priority="7" operator="containsText" text="Conferir"/>
    <x:cfRule type="containsText" dxfId="37" priority="8" operator="containsText" text="Aluguel indevido"/>
    <x:cfRule type="containsText" dxfId="38" priority="9" operator="containsText" text="Risco"/>
    <x:cfRule type="containsText" dxfId="39" priority="10" operator="containsText" text="Em até 30 dias"/>
  </x:conditionalFormatting>
  <x:pageMargins left="0.7" right="0.7" top="0.75" bottom="0.75" header="0.3" footer="0.3"/>
  <x:drawing xmlns:r="http://schemas.openxmlformats.org/officeDocument/2006/relationships" r:id="R2a6ef677f64e401b"/>
</x:worksheet>
</file>

<file path=xl/worksheets/sheet2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26" hidden="0" customWidth="1"/>
    <x:col min="9" max="9" width="26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35" customHeight="1">
      <x:c r="A2" s="5" t="str">
        <x:v>Imoveis</x:v>
      </x:c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4" t="str">
        <x:v>Imóvel próprio não exige contrato de locação nem datas de vigência.</x:v>
      </x:c>
      <x:c r="B3" s="4"/>
      <x:c r="C3" s="4"/>
      <x:c r="D3" s="4"/>
      <x:c r="E3" s="4"/>
      <x:c r="F3" s="4"/>
      <x:c r="G3" s="4"/>
      <x:c r="H3" s="4"/>
      <x:c r="I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46" customHeight="1">
      <x:c r="A6" s="21" t="str">
        <x:v>ID imóvel</x:v>
      </x:c>
      <x:c r="B6" s="21" t="str">
        <x:v>Unidade</x:v>
      </x:c>
      <x:c r="C6" s="21" t="str">
        <x:v>Tipo</x:v>
      </x:c>
      <x:c r="D6" s="21" t="str">
        <x:v>Contrato de locação</x:v>
      </x:c>
      <x:c r="E6" s="21" t="str">
        <x:v>Início</x:v>
      </x:c>
      <x:c r="F6" s="21" t="str">
        <x:v>Fim</x:v>
      </x:c>
      <x:c r="G6" s="21" t="str">
        <x:v>Dias até o fim</x:v>
      </x:c>
      <x:c r="H6" s="21" t="str">
        <x:v>Prazo</x:v>
      </x:c>
      <x:c r="I6" s="21" t="str">
        <x:v>Cadastro</x:v>
      </x:c>
    </x:row>
    <x:row r="7" ht="40" customHeight="1">
      <x:c r="A7" s="23"/>
      <x:c r="B7" s="23"/>
      <x:c r="C7" s="23"/>
      <x:c r="D7" s="23"/>
      <x:c r="E7" s="13"/>
      <x:c r="F7" s="13"/>
      <x:c r="G7" s="16" t="str">
        <x:f>IF('Auxiliar'!B8&lt;&gt;"OK","",IF(A7="","",IF(OR(C7="Próprio",I7&lt;&gt;"OK"),"",F7-'Auxiliar'!$B$5)))</x:f>
      </x:c>
      <x:c r="H7" s="16" t="str">
        <x:f>IF(A7="","",IF('Auxiliar'!B8&lt;&gt;"OK","Conferir Auxiliar",IF(A7="","",IF(I7&lt;&gt;"OK","Conferir cadastro",IF(C7="Próprio","Próprio",IF(G7&lt;0,"Vencido",IF(G7=0,"Vence hoje",IF(G7&lt;=30,"Em até 30 dias","Em prazo"))))))))</x:f>
      </x:c>
      <x:c r="I7" s="16" t="str">
        <x:f>IF(COUNTA(A7:F7)=0,"",IF(A7="","Informe ID",IF(COUNTIFS($A$7:$A$56,A7)&gt;1,"Duplicado",IF(OR(B7="",AND(C7&lt;&gt;"Locado",C7&lt;&gt;"Próprio")),"Incompleto",IF(C7="Próprio","OK",IF(OR(D7="",NOT(ISNUMBER(E7)),NOT(ISNUMBER(F7)),E7&lt;=0,F7&lt;E7),"Incompleto","OK"))))))</x:f>
      </x:c>
    </x:row>
    <x:row r="8" ht="40" customHeight="1">
      <x:c r="A8" s="23"/>
      <x:c r="B8" s="23"/>
      <x:c r="C8" s="23"/>
      <x:c r="D8" s="23"/>
      <x:c r="E8" s="13"/>
      <x:c r="F8" s="13"/>
      <x:c r="G8" s="16" t="str">
        <x:f>IF('Auxiliar'!B8&lt;&gt;"OK","",IF(A8="","",IF(OR(C8="Próprio",I8&lt;&gt;"OK"),"",F8-'Auxiliar'!$B$5)))</x:f>
      </x:c>
      <x:c r="H8" s="16" t="str">
        <x:f>IF(A8="","",IF('Auxiliar'!B8&lt;&gt;"OK","Conferir Auxiliar",IF(A8="","",IF(I8&lt;&gt;"OK","Conferir cadastro",IF(C8="Próprio","Próprio",IF(G8&lt;0,"Vencido",IF(G8=0,"Vence hoje",IF(G8&lt;=30,"Em até 30 dias","Em prazo"))))))))</x:f>
      </x:c>
      <x:c r="I8" s="16" t="str">
        <x:f>IF(COUNTA(A8:F8)=0,"",IF(A8="","Informe ID",IF(COUNTIFS($A$7:$A$56,A8)&gt;1,"Duplicado",IF(OR(B8="",AND(C8&lt;&gt;"Locado",C8&lt;&gt;"Próprio")),"Incompleto",IF(C8="Próprio","OK",IF(OR(D8="",NOT(ISNUMBER(E8)),NOT(ISNUMBER(F8)),E8&lt;=0,F8&lt;E8),"Incompleto","OK"))))))</x:f>
      </x:c>
    </x:row>
    <x:row r="9" ht="40" customHeight="1">
      <x:c r="A9" s="23"/>
      <x:c r="B9" s="23"/>
      <x:c r="C9" s="23"/>
      <x:c r="D9" s="23"/>
      <x:c r="E9" s="13"/>
      <x:c r="F9" s="13"/>
      <x:c r="G9" s="16" t="str">
        <x:f>IF('Auxiliar'!B8&lt;&gt;"OK","",IF(A9="","",IF(OR(C9="Próprio",I9&lt;&gt;"OK"),"",F9-'Auxiliar'!$B$5)))</x:f>
      </x:c>
      <x:c r="H9" s="16" t="str">
        <x:f>IF(A9="","",IF('Auxiliar'!B8&lt;&gt;"OK","Conferir Auxiliar",IF(A9="","",IF(I9&lt;&gt;"OK","Conferir cadastro",IF(C9="Próprio","Próprio",IF(G9&lt;0,"Vencido",IF(G9=0,"Vence hoje",IF(G9&lt;=30,"Em até 30 dias","Em prazo"))))))))</x:f>
      </x:c>
      <x:c r="I9" s="16" t="str">
        <x:f>IF(COUNTA(A9:F9)=0,"",IF(A9="","Informe ID",IF(COUNTIFS($A$7:$A$56,A9)&gt;1,"Duplicado",IF(OR(B9="",AND(C9&lt;&gt;"Locado",C9&lt;&gt;"Próprio")),"Incompleto",IF(C9="Próprio","OK",IF(OR(D9="",NOT(ISNUMBER(E9)),NOT(ISNUMBER(F9)),E9&lt;=0,F9&lt;E9),"Incompleto","OK"))))))</x:f>
      </x:c>
    </x:row>
    <x:row r="10" ht="40" customHeight="1">
      <x:c r="A10" s="23"/>
      <x:c r="B10" s="23"/>
      <x:c r="C10" s="23"/>
      <x:c r="D10" s="23"/>
      <x:c r="E10" s="13"/>
      <x:c r="F10" s="13"/>
      <x:c r="G10" s="16" t="str">
        <x:f>IF('Auxiliar'!B8&lt;&gt;"OK","",IF(A10="","",IF(OR(C10="Próprio",I10&lt;&gt;"OK"),"",F10-'Auxiliar'!$B$5)))</x:f>
      </x:c>
      <x:c r="H10" s="16" t="str">
        <x:f>IF(A10="","",IF('Auxiliar'!B8&lt;&gt;"OK","Conferir Auxiliar",IF(A10="","",IF(I10&lt;&gt;"OK","Conferir cadastro",IF(C10="Próprio","Próprio",IF(G10&lt;0,"Vencido",IF(G10=0,"Vence hoje",IF(G10&lt;=30,"Em até 30 dias","Em prazo"))))))))</x:f>
      </x:c>
      <x:c r="I10" s="16" t="str">
        <x:f>IF(COUNTA(A10:F10)=0,"",IF(A10="","Informe ID",IF(COUNTIFS($A$7:$A$56,A10)&gt;1,"Duplicado",IF(OR(B10="",AND(C10&lt;&gt;"Locado",C10&lt;&gt;"Próprio")),"Incompleto",IF(C10="Próprio","OK",IF(OR(D10="",NOT(ISNUMBER(E10)),NOT(ISNUMBER(F10)),E10&lt;=0,F10&lt;E10),"Incompleto","OK"))))))</x:f>
      </x:c>
    </x:row>
    <x:row r="11" ht="40" customHeight="1">
      <x:c r="A11" s="23"/>
      <x:c r="B11" s="23"/>
      <x:c r="C11" s="23"/>
      <x:c r="D11" s="23"/>
      <x:c r="E11" s="13"/>
      <x:c r="F11" s="13"/>
      <x:c r="G11" s="16" t="str">
        <x:f>IF('Auxiliar'!B8&lt;&gt;"OK","",IF(A11="","",IF(OR(C11="Próprio",I11&lt;&gt;"OK"),"",F11-'Auxiliar'!$B$5)))</x:f>
      </x:c>
      <x:c r="H11" s="16" t="str">
        <x:f>IF(A11="","",IF('Auxiliar'!B8&lt;&gt;"OK","Conferir Auxiliar",IF(A11="","",IF(I11&lt;&gt;"OK","Conferir cadastro",IF(C11="Próprio","Próprio",IF(G11&lt;0,"Vencido",IF(G11=0,"Vence hoje",IF(G11&lt;=30,"Em até 30 dias","Em prazo"))))))))</x:f>
      </x:c>
      <x:c r="I11" s="16" t="str">
        <x:f>IF(COUNTA(A11:F11)=0,"",IF(A11="","Informe ID",IF(COUNTIFS($A$7:$A$56,A11)&gt;1,"Duplicado",IF(OR(B11="",AND(C11&lt;&gt;"Locado",C11&lt;&gt;"Próprio")),"Incompleto",IF(C11="Próprio","OK",IF(OR(D11="",NOT(ISNUMBER(E11)),NOT(ISNUMBER(F11)),E11&lt;=0,F11&lt;E11),"Incompleto","OK"))))))</x:f>
      </x:c>
    </x:row>
    <x:row r="12" ht="40" customHeight="1">
      <x:c r="A12" s="23"/>
      <x:c r="B12" s="23"/>
      <x:c r="C12" s="23"/>
      <x:c r="D12" s="23"/>
      <x:c r="E12" s="13"/>
      <x:c r="F12" s="13"/>
      <x:c r="G12" s="16" t="str">
        <x:f>IF('Auxiliar'!B8&lt;&gt;"OK","",IF(A12="","",IF(OR(C12="Próprio",I12&lt;&gt;"OK"),"",F12-'Auxiliar'!$B$5)))</x:f>
      </x:c>
      <x:c r="H12" s="16" t="str">
        <x:f>IF(A12="","",IF('Auxiliar'!B8&lt;&gt;"OK","Conferir Auxiliar",IF(A12="","",IF(I12&lt;&gt;"OK","Conferir cadastro",IF(C12="Próprio","Próprio",IF(G12&lt;0,"Vencido",IF(G12=0,"Vence hoje",IF(G12&lt;=30,"Em até 30 dias","Em prazo"))))))))</x:f>
      </x:c>
      <x:c r="I12" s="16" t="str">
        <x:f>IF(COUNTA(A12:F12)=0,"",IF(A12="","Informe ID",IF(COUNTIFS($A$7:$A$56,A12)&gt;1,"Duplicado",IF(OR(B12="",AND(C12&lt;&gt;"Locado",C12&lt;&gt;"Próprio")),"Incompleto",IF(C12="Próprio","OK",IF(OR(D12="",NOT(ISNUMBER(E12)),NOT(ISNUMBER(F12)),E12&lt;=0,F12&lt;E12),"Incompleto","OK"))))))</x:f>
      </x:c>
    </x:row>
    <x:row r="13" ht="40" customHeight="1">
      <x:c r="A13" s="23"/>
      <x:c r="B13" s="23"/>
      <x:c r="C13" s="23"/>
      <x:c r="D13" s="23"/>
      <x:c r="E13" s="13"/>
      <x:c r="F13" s="13"/>
      <x:c r="G13" s="16" t="str">
        <x:f>IF('Auxiliar'!B8&lt;&gt;"OK","",IF(A13="","",IF(OR(C13="Próprio",I13&lt;&gt;"OK"),"",F13-'Auxiliar'!$B$5)))</x:f>
      </x:c>
      <x:c r="H13" s="16" t="str">
        <x:f>IF(A13="","",IF('Auxiliar'!B8&lt;&gt;"OK","Conferir Auxiliar",IF(A13="","",IF(I13&lt;&gt;"OK","Conferir cadastro",IF(C13="Próprio","Próprio",IF(G13&lt;0,"Vencido",IF(G13=0,"Vence hoje",IF(G13&lt;=30,"Em até 30 dias","Em prazo"))))))))</x:f>
      </x:c>
      <x:c r="I13" s="16" t="str">
        <x:f>IF(COUNTA(A13:F13)=0,"",IF(A13="","Informe ID",IF(COUNTIFS($A$7:$A$56,A13)&gt;1,"Duplicado",IF(OR(B13="",AND(C13&lt;&gt;"Locado",C13&lt;&gt;"Próprio")),"Incompleto",IF(C13="Próprio","OK",IF(OR(D13="",NOT(ISNUMBER(E13)),NOT(ISNUMBER(F13)),E13&lt;=0,F13&lt;E13),"Incompleto","OK"))))))</x:f>
      </x:c>
    </x:row>
    <x:row r="14" ht="40" customHeight="1">
      <x:c r="A14" s="23"/>
      <x:c r="B14" s="23"/>
      <x:c r="C14" s="23"/>
      <x:c r="D14" s="23"/>
      <x:c r="E14" s="13"/>
      <x:c r="F14" s="13"/>
      <x:c r="G14" s="16" t="str">
        <x:f>IF('Auxiliar'!B8&lt;&gt;"OK","",IF(A14="","",IF(OR(C14="Próprio",I14&lt;&gt;"OK"),"",F14-'Auxiliar'!$B$5)))</x:f>
      </x:c>
      <x:c r="H14" s="16" t="str">
        <x:f>IF(A14="","",IF('Auxiliar'!B8&lt;&gt;"OK","Conferir Auxiliar",IF(A14="","",IF(I14&lt;&gt;"OK","Conferir cadastro",IF(C14="Próprio","Próprio",IF(G14&lt;0,"Vencido",IF(G14=0,"Vence hoje",IF(G14&lt;=30,"Em até 30 dias","Em prazo"))))))))</x:f>
      </x:c>
      <x:c r="I14" s="16" t="str">
        <x:f>IF(COUNTA(A14:F14)=0,"",IF(A14="","Informe ID",IF(COUNTIFS($A$7:$A$56,A14)&gt;1,"Duplicado",IF(OR(B14="",AND(C14&lt;&gt;"Locado",C14&lt;&gt;"Próprio")),"Incompleto",IF(C14="Próprio","OK",IF(OR(D14="",NOT(ISNUMBER(E14)),NOT(ISNUMBER(F14)),E14&lt;=0,F14&lt;E14),"Incompleto","OK"))))))</x:f>
      </x:c>
    </x:row>
    <x:row r="15" ht="40" customHeight="1">
      <x:c r="A15" s="23"/>
      <x:c r="B15" s="23"/>
      <x:c r="C15" s="23"/>
      <x:c r="D15" s="23"/>
      <x:c r="E15" s="13"/>
      <x:c r="F15" s="13"/>
      <x:c r="G15" s="16" t="str">
        <x:f>IF('Auxiliar'!B8&lt;&gt;"OK","",IF(A15="","",IF(OR(C15="Próprio",I15&lt;&gt;"OK"),"",F15-'Auxiliar'!$B$5)))</x:f>
      </x:c>
      <x:c r="H15" s="16" t="str">
        <x:f>IF(A15="","",IF('Auxiliar'!B8&lt;&gt;"OK","Conferir Auxiliar",IF(A15="","",IF(I15&lt;&gt;"OK","Conferir cadastro",IF(C15="Próprio","Próprio",IF(G15&lt;0,"Vencido",IF(G15=0,"Vence hoje",IF(G15&lt;=30,"Em até 30 dias","Em prazo"))))))))</x:f>
      </x:c>
      <x:c r="I15" s="16" t="str">
        <x:f>IF(COUNTA(A15:F15)=0,"",IF(A15="","Informe ID",IF(COUNTIFS($A$7:$A$56,A15)&gt;1,"Duplicado",IF(OR(B15="",AND(C15&lt;&gt;"Locado",C15&lt;&gt;"Próprio")),"Incompleto",IF(C15="Próprio","OK",IF(OR(D15="",NOT(ISNUMBER(E15)),NOT(ISNUMBER(F15)),E15&lt;=0,F15&lt;E15),"Incompleto","OK"))))))</x:f>
      </x:c>
    </x:row>
    <x:row r="16" ht="40" customHeight="1">
      <x:c r="A16" s="23"/>
      <x:c r="B16" s="23"/>
      <x:c r="C16" s="23"/>
      <x:c r="D16" s="23"/>
      <x:c r="E16" s="13"/>
      <x:c r="F16" s="13"/>
      <x:c r="G16" s="16" t="str">
        <x:f>IF('Auxiliar'!B8&lt;&gt;"OK","",IF(A16="","",IF(OR(C16="Próprio",I16&lt;&gt;"OK"),"",F16-'Auxiliar'!$B$5)))</x:f>
      </x:c>
      <x:c r="H16" s="16" t="str">
        <x:f>IF(A16="","",IF('Auxiliar'!B8&lt;&gt;"OK","Conferir Auxiliar",IF(A16="","",IF(I16&lt;&gt;"OK","Conferir cadastro",IF(C16="Próprio","Próprio",IF(G16&lt;0,"Vencido",IF(G16=0,"Vence hoje",IF(G16&lt;=30,"Em até 30 dias","Em prazo"))))))))</x:f>
      </x:c>
      <x:c r="I16" s="16" t="str">
        <x:f>IF(COUNTA(A16:F16)=0,"",IF(A16="","Informe ID",IF(COUNTIFS($A$7:$A$56,A16)&gt;1,"Duplicado",IF(OR(B16="",AND(C16&lt;&gt;"Locado",C16&lt;&gt;"Próprio")),"Incompleto",IF(C16="Próprio","OK",IF(OR(D16="",NOT(ISNUMBER(E16)),NOT(ISNUMBER(F16)),E16&lt;=0,F16&lt;E16),"Incompleto","OK"))))))</x:f>
      </x:c>
    </x:row>
    <x:row r="17" ht="40" customHeight="1">
      <x:c r="A17" s="23"/>
      <x:c r="B17" s="23"/>
      <x:c r="C17" s="23"/>
      <x:c r="D17" s="23"/>
      <x:c r="E17" s="13"/>
      <x:c r="F17" s="13"/>
      <x:c r="G17" s="16" t="str">
        <x:f>IF('Auxiliar'!B8&lt;&gt;"OK","",IF(A17="","",IF(OR(C17="Próprio",I17&lt;&gt;"OK"),"",F17-'Auxiliar'!$B$5)))</x:f>
      </x:c>
      <x:c r="H17" s="16" t="str">
        <x:f>IF(A17="","",IF('Auxiliar'!B8&lt;&gt;"OK","Conferir Auxiliar",IF(A17="","",IF(I17&lt;&gt;"OK","Conferir cadastro",IF(C17="Próprio","Próprio",IF(G17&lt;0,"Vencido",IF(G17=0,"Vence hoje",IF(G17&lt;=30,"Em até 30 dias","Em prazo"))))))))</x:f>
      </x:c>
      <x:c r="I17" s="16" t="str">
        <x:f>IF(COUNTA(A17:F17)=0,"",IF(A17="","Informe ID",IF(COUNTIFS($A$7:$A$56,A17)&gt;1,"Duplicado",IF(OR(B17="",AND(C17&lt;&gt;"Locado",C17&lt;&gt;"Próprio")),"Incompleto",IF(C17="Próprio","OK",IF(OR(D17="",NOT(ISNUMBER(E17)),NOT(ISNUMBER(F17)),E17&lt;=0,F17&lt;E17),"Incompleto","OK"))))))</x:f>
      </x:c>
    </x:row>
    <x:row r="18" ht="40" customHeight="1">
      <x:c r="A18" s="23"/>
      <x:c r="B18" s="23"/>
      <x:c r="C18" s="23"/>
      <x:c r="D18" s="23"/>
      <x:c r="E18" s="13"/>
      <x:c r="F18" s="13"/>
      <x:c r="G18" s="16" t="str">
        <x:f>IF('Auxiliar'!B8&lt;&gt;"OK","",IF(A18="","",IF(OR(C18="Próprio",I18&lt;&gt;"OK"),"",F18-'Auxiliar'!$B$5)))</x:f>
      </x:c>
      <x:c r="H18" s="16" t="str">
        <x:f>IF(A18="","",IF('Auxiliar'!B8&lt;&gt;"OK","Conferir Auxiliar",IF(A18="","",IF(I18&lt;&gt;"OK","Conferir cadastro",IF(C18="Próprio","Próprio",IF(G18&lt;0,"Vencido",IF(G18=0,"Vence hoje",IF(G18&lt;=30,"Em até 30 dias","Em prazo"))))))))</x:f>
      </x:c>
      <x:c r="I18" s="16" t="str">
        <x:f>IF(COUNTA(A18:F18)=0,"",IF(A18="","Informe ID",IF(COUNTIFS($A$7:$A$56,A18)&gt;1,"Duplicado",IF(OR(B18="",AND(C18&lt;&gt;"Locado",C18&lt;&gt;"Próprio")),"Incompleto",IF(C18="Próprio","OK",IF(OR(D18="",NOT(ISNUMBER(E18)),NOT(ISNUMBER(F18)),E18&lt;=0,F18&lt;E18),"Incompleto","OK"))))))</x:f>
      </x:c>
    </x:row>
    <x:row r="19" ht="40" customHeight="1">
      <x:c r="A19" s="23"/>
      <x:c r="B19" s="23"/>
      <x:c r="C19" s="23"/>
      <x:c r="D19" s="23"/>
      <x:c r="E19" s="13"/>
      <x:c r="F19" s="13"/>
      <x:c r="G19" s="16" t="str">
        <x:f>IF('Auxiliar'!B8&lt;&gt;"OK","",IF(A19="","",IF(OR(C19="Próprio",I19&lt;&gt;"OK"),"",F19-'Auxiliar'!$B$5)))</x:f>
      </x:c>
      <x:c r="H19" s="16" t="str">
        <x:f>IF(A19="","",IF('Auxiliar'!B8&lt;&gt;"OK","Conferir Auxiliar",IF(A19="","",IF(I19&lt;&gt;"OK","Conferir cadastro",IF(C19="Próprio","Próprio",IF(G19&lt;0,"Vencido",IF(G19=0,"Vence hoje",IF(G19&lt;=30,"Em até 30 dias","Em prazo"))))))))</x:f>
      </x:c>
      <x:c r="I19" s="16" t="str">
        <x:f>IF(COUNTA(A19:F19)=0,"",IF(A19="","Informe ID",IF(COUNTIFS($A$7:$A$56,A19)&gt;1,"Duplicado",IF(OR(B19="",AND(C19&lt;&gt;"Locado",C19&lt;&gt;"Próprio")),"Incompleto",IF(C19="Próprio","OK",IF(OR(D19="",NOT(ISNUMBER(E19)),NOT(ISNUMBER(F19)),E19&lt;=0,F19&lt;E19),"Incompleto","OK"))))))</x:f>
      </x:c>
    </x:row>
    <x:row r="20" ht="40" customHeight="1">
      <x:c r="A20" s="23"/>
      <x:c r="B20" s="23"/>
      <x:c r="C20" s="23"/>
      <x:c r="D20" s="23"/>
      <x:c r="E20" s="13"/>
      <x:c r="F20" s="13"/>
      <x:c r="G20" s="16" t="str">
        <x:f>IF('Auxiliar'!B8&lt;&gt;"OK","",IF(A20="","",IF(OR(C20="Próprio",I20&lt;&gt;"OK"),"",F20-'Auxiliar'!$B$5)))</x:f>
      </x:c>
      <x:c r="H20" s="16" t="str">
        <x:f>IF(A20="","",IF('Auxiliar'!B8&lt;&gt;"OK","Conferir Auxiliar",IF(A20="","",IF(I20&lt;&gt;"OK","Conferir cadastro",IF(C20="Próprio","Próprio",IF(G20&lt;0,"Vencido",IF(G20=0,"Vence hoje",IF(G20&lt;=30,"Em até 30 dias","Em prazo"))))))))</x:f>
      </x:c>
      <x:c r="I20" s="16" t="str">
        <x:f>IF(COUNTA(A20:F20)=0,"",IF(A20="","Informe ID",IF(COUNTIFS($A$7:$A$56,A20)&gt;1,"Duplicado",IF(OR(B20="",AND(C20&lt;&gt;"Locado",C20&lt;&gt;"Próprio")),"Incompleto",IF(C20="Próprio","OK",IF(OR(D20="",NOT(ISNUMBER(E20)),NOT(ISNUMBER(F20)),E20&lt;=0,F20&lt;E20),"Incompleto","OK"))))))</x:f>
      </x:c>
    </x:row>
    <x:row r="21" ht="40" customHeight="1">
      <x:c r="A21" s="23"/>
      <x:c r="B21" s="23"/>
      <x:c r="C21" s="23"/>
      <x:c r="D21" s="23"/>
      <x:c r="E21" s="13"/>
      <x:c r="F21" s="13"/>
      <x:c r="G21" s="16" t="str">
        <x:f>IF('Auxiliar'!B8&lt;&gt;"OK","",IF(A21="","",IF(OR(C21="Próprio",I21&lt;&gt;"OK"),"",F21-'Auxiliar'!$B$5)))</x:f>
      </x:c>
      <x:c r="H21" s="16" t="str">
        <x:f>IF(A21="","",IF('Auxiliar'!B8&lt;&gt;"OK","Conferir Auxiliar",IF(A21="","",IF(I21&lt;&gt;"OK","Conferir cadastro",IF(C21="Próprio","Próprio",IF(G21&lt;0,"Vencido",IF(G21=0,"Vence hoje",IF(G21&lt;=30,"Em até 30 dias","Em prazo"))))))))</x:f>
      </x:c>
      <x:c r="I21" s="16" t="str">
        <x:f>IF(COUNTA(A21:F21)=0,"",IF(A21="","Informe ID",IF(COUNTIFS($A$7:$A$56,A21)&gt;1,"Duplicado",IF(OR(B21="",AND(C21&lt;&gt;"Locado",C21&lt;&gt;"Próprio")),"Incompleto",IF(C21="Próprio","OK",IF(OR(D21="",NOT(ISNUMBER(E21)),NOT(ISNUMBER(F21)),E21&lt;=0,F21&lt;E21),"Incompleto","OK"))))))</x:f>
      </x:c>
    </x:row>
    <x:row r="22" ht="40" customHeight="1">
      <x:c r="A22" s="23"/>
      <x:c r="B22" s="23"/>
      <x:c r="C22" s="23"/>
      <x:c r="D22" s="23"/>
      <x:c r="E22" s="13"/>
      <x:c r="F22" s="13"/>
      <x:c r="G22" s="16" t="str">
        <x:f>IF('Auxiliar'!B8&lt;&gt;"OK","",IF(A22="","",IF(OR(C22="Próprio",I22&lt;&gt;"OK"),"",F22-'Auxiliar'!$B$5)))</x:f>
      </x:c>
      <x:c r="H22" s="16" t="str">
        <x:f>IF(A22="","",IF('Auxiliar'!B8&lt;&gt;"OK","Conferir Auxiliar",IF(A22="","",IF(I22&lt;&gt;"OK","Conferir cadastro",IF(C22="Próprio","Próprio",IF(G22&lt;0,"Vencido",IF(G22=0,"Vence hoje",IF(G22&lt;=30,"Em até 30 dias","Em prazo"))))))))</x:f>
      </x:c>
      <x:c r="I22" s="16" t="str">
        <x:f>IF(COUNTA(A22:F22)=0,"",IF(A22="","Informe ID",IF(COUNTIFS($A$7:$A$56,A22)&gt;1,"Duplicado",IF(OR(B22="",AND(C22&lt;&gt;"Locado",C22&lt;&gt;"Próprio")),"Incompleto",IF(C22="Próprio","OK",IF(OR(D22="",NOT(ISNUMBER(E22)),NOT(ISNUMBER(F22)),E22&lt;=0,F22&lt;E22),"Incompleto","OK"))))))</x:f>
      </x:c>
    </x:row>
    <x:row r="23" ht="40" customHeight="1">
      <x:c r="A23" s="23"/>
      <x:c r="B23" s="23"/>
      <x:c r="C23" s="23"/>
      <x:c r="D23" s="23"/>
      <x:c r="E23" s="13"/>
      <x:c r="F23" s="13"/>
      <x:c r="G23" s="16" t="str">
        <x:f>IF('Auxiliar'!B8&lt;&gt;"OK","",IF(A23="","",IF(OR(C23="Próprio",I23&lt;&gt;"OK"),"",F23-'Auxiliar'!$B$5)))</x:f>
      </x:c>
      <x:c r="H23" s="16" t="str">
        <x:f>IF(A23="","",IF('Auxiliar'!B8&lt;&gt;"OK","Conferir Auxiliar",IF(A23="","",IF(I23&lt;&gt;"OK","Conferir cadastro",IF(C23="Próprio","Próprio",IF(G23&lt;0,"Vencido",IF(G23=0,"Vence hoje",IF(G23&lt;=30,"Em até 30 dias","Em prazo"))))))))</x:f>
      </x:c>
      <x:c r="I23" s="16" t="str">
        <x:f>IF(COUNTA(A23:F23)=0,"",IF(A23="","Informe ID",IF(COUNTIFS($A$7:$A$56,A23)&gt;1,"Duplicado",IF(OR(B23="",AND(C23&lt;&gt;"Locado",C23&lt;&gt;"Próprio")),"Incompleto",IF(C23="Próprio","OK",IF(OR(D23="",NOT(ISNUMBER(E23)),NOT(ISNUMBER(F23)),E23&lt;=0,F23&lt;E23),"Incompleto","OK"))))))</x:f>
      </x:c>
    </x:row>
    <x:row r="24" ht="40" customHeight="1">
      <x:c r="A24" s="23"/>
      <x:c r="B24" s="23"/>
      <x:c r="C24" s="23"/>
      <x:c r="D24" s="23"/>
      <x:c r="E24" s="13"/>
      <x:c r="F24" s="13"/>
      <x:c r="G24" s="16" t="str">
        <x:f>IF('Auxiliar'!B8&lt;&gt;"OK","",IF(A24="","",IF(OR(C24="Próprio",I24&lt;&gt;"OK"),"",F24-'Auxiliar'!$B$5)))</x:f>
      </x:c>
      <x:c r="H24" s="16" t="str">
        <x:f>IF(A24="","",IF('Auxiliar'!B8&lt;&gt;"OK","Conferir Auxiliar",IF(A24="","",IF(I24&lt;&gt;"OK","Conferir cadastro",IF(C24="Próprio","Próprio",IF(G24&lt;0,"Vencido",IF(G24=0,"Vence hoje",IF(G24&lt;=30,"Em até 30 dias","Em prazo"))))))))</x:f>
      </x:c>
      <x:c r="I24" s="16" t="str">
        <x:f>IF(COUNTA(A24:F24)=0,"",IF(A24="","Informe ID",IF(COUNTIFS($A$7:$A$56,A24)&gt;1,"Duplicado",IF(OR(B24="",AND(C24&lt;&gt;"Locado",C24&lt;&gt;"Próprio")),"Incompleto",IF(C24="Próprio","OK",IF(OR(D24="",NOT(ISNUMBER(E24)),NOT(ISNUMBER(F24)),E24&lt;=0,F24&lt;E24),"Incompleto","OK"))))))</x:f>
      </x:c>
    </x:row>
    <x:row r="25" ht="40" customHeight="1">
      <x:c r="A25" s="23"/>
      <x:c r="B25" s="23"/>
      <x:c r="C25" s="23"/>
      <x:c r="D25" s="23"/>
      <x:c r="E25" s="13"/>
      <x:c r="F25" s="13"/>
      <x:c r="G25" s="16" t="str">
        <x:f>IF('Auxiliar'!B8&lt;&gt;"OK","",IF(A25="","",IF(OR(C25="Próprio",I25&lt;&gt;"OK"),"",F25-'Auxiliar'!$B$5)))</x:f>
      </x:c>
      <x:c r="H25" s="16" t="str">
        <x:f>IF(A25="","",IF('Auxiliar'!B8&lt;&gt;"OK","Conferir Auxiliar",IF(A25="","",IF(I25&lt;&gt;"OK","Conferir cadastro",IF(C25="Próprio","Próprio",IF(G25&lt;0,"Vencido",IF(G25=0,"Vence hoje",IF(G25&lt;=30,"Em até 30 dias","Em prazo"))))))))</x:f>
      </x:c>
      <x:c r="I25" s="16" t="str">
        <x:f>IF(COUNTA(A25:F25)=0,"",IF(A25="","Informe ID",IF(COUNTIFS($A$7:$A$56,A25)&gt;1,"Duplicado",IF(OR(B25="",AND(C25&lt;&gt;"Locado",C25&lt;&gt;"Próprio")),"Incompleto",IF(C25="Próprio","OK",IF(OR(D25="",NOT(ISNUMBER(E25)),NOT(ISNUMBER(F25)),E25&lt;=0,F25&lt;E25),"Incompleto","OK"))))))</x:f>
      </x:c>
    </x:row>
    <x:row r="26" ht="40" customHeight="1">
      <x:c r="A26" s="23"/>
      <x:c r="B26" s="23"/>
      <x:c r="C26" s="23"/>
      <x:c r="D26" s="23"/>
      <x:c r="E26" s="13"/>
      <x:c r="F26" s="13"/>
      <x:c r="G26" s="16" t="str">
        <x:f>IF('Auxiliar'!B8&lt;&gt;"OK","",IF(A26="","",IF(OR(C26="Próprio",I26&lt;&gt;"OK"),"",F26-'Auxiliar'!$B$5)))</x:f>
      </x:c>
      <x:c r="H26" s="16" t="str">
        <x:f>IF(A26="","",IF('Auxiliar'!B8&lt;&gt;"OK","Conferir Auxiliar",IF(A26="","",IF(I26&lt;&gt;"OK","Conferir cadastro",IF(C26="Próprio","Próprio",IF(G26&lt;0,"Vencido",IF(G26=0,"Vence hoje",IF(G26&lt;=30,"Em até 30 dias","Em prazo"))))))))</x:f>
      </x:c>
      <x:c r="I26" s="16" t="str">
        <x:f>IF(COUNTA(A26:F26)=0,"",IF(A26="","Informe ID",IF(COUNTIFS($A$7:$A$56,A26)&gt;1,"Duplicado",IF(OR(B26="",AND(C26&lt;&gt;"Locado",C26&lt;&gt;"Próprio")),"Incompleto",IF(C26="Próprio","OK",IF(OR(D26="",NOT(ISNUMBER(E26)),NOT(ISNUMBER(F26)),E26&lt;=0,F26&lt;E26),"Incompleto","OK"))))))</x:f>
      </x:c>
    </x:row>
    <x:row r="27" ht="40" customHeight="1">
      <x:c r="A27" s="23"/>
      <x:c r="B27" s="23"/>
      <x:c r="C27" s="23"/>
      <x:c r="D27" s="23"/>
      <x:c r="E27" s="13"/>
      <x:c r="F27" s="13"/>
      <x:c r="G27" s="16" t="str">
        <x:f>IF('Auxiliar'!B8&lt;&gt;"OK","",IF(A27="","",IF(OR(C27="Próprio",I27&lt;&gt;"OK"),"",F27-'Auxiliar'!$B$5)))</x:f>
      </x:c>
      <x:c r="H27" s="16" t="str">
        <x:f>IF(A27="","",IF('Auxiliar'!B8&lt;&gt;"OK","Conferir Auxiliar",IF(A27="","",IF(I27&lt;&gt;"OK","Conferir cadastro",IF(C27="Próprio","Próprio",IF(G27&lt;0,"Vencido",IF(G27=0,"Vence hoje",IF(G27&lt;=30,"Em até 30 dias","Em prazo"))))))))</x:f>
      </x:c>
      <x:c r="I27" s="16" t="str">
        <x:f>IF(COUNTA(A27:F27)=0,"",IF(A27="","Informe ID",IF(COUNTIFS($A$7:$A$56,A27)&gt;1,"Duplicado",IF(OR(B27="",AND(C27&lt;&gt;"Locado",C27&lt;&gt;"Próprio")),"Incompleto",IF(C27="Próprio","OK",IF(OR(D27="",NOT(ISNUMBER(E27)),NOT(ISNUMBER(F27)),E27&lt;=0,F27&lt;E27),"Incompleto","OK"))))))</x:f>
      </x:c>
    </x:row>
    <x:row r="28" ht="40" customHeight="1">
      <x:c r="A28" s="23"/>
      <x:c r="B28" s="23"/>
      <x:c r="C28" s="23"/>
      <x:c r="D28" s="23"/>
      <x:c r="E28" s="13"/>
      <x:c r="F28" s="13"/>
      <x:c r="G28" s="16" t="str">
        <x:f>IF('Auxiliar'!B8&lt;&gt;"OK","",IF(A28="","",IF(OR(C28="Próprio",I28&lt;&gt;"OK"),"",F28-'Auxiliar'!$B$5)))</x:f>
      </x:c>
      <x:c r="H28" s="16" t="str">
        <x:f>IF(A28="","",IF('Auxiliar'!B8&lt;&gt;"OK","Conferir Auxiliar",IF(A28="","",IF(I28&lt;&gt;"OK","Conferir cadastro",IF(C28="Próprio","Próprio",IF(G28&lt;0,"Vencido",IF(G28=0,"Vence hoje",IF(G28&lt;=30,"Em até 30 dias","Em prazo"))))))))</x:f>
      </x:c>
      <x:c r="I28" s="16" t="str">
        <x:f>IF(COUNTA(A28:F28)=0,"",IF(A28="","Informe ID",IF(COUNTIFS($A$7:$A$56,A28)&gt;1,"Duplicado",IF(OR(B28="",AND(C28&lt;&gt;"Locado",C28&lt;&gt;"Próprio")),"Incompleto",IF(C28="Próprio","OK",IF(OR(D28="",NOT(ISNUMBER(E28)),NOT(ISNUMBER(F28)),E28&lt;=0,F28&lt;E28),"Incompleto","OK"))))))</x:f>
      </x:c>
    </x:row>
    <x:row r="29" ht="40" customHeight="1">
      <x:c r="A29" s="23"/>
      <x:c r="B29" s="23"/>
      <x:c r="C29" s="23"/>
      <x:c r="D29" s="23"/>
      <x:c r="E29" s="13"/>
      <x:c r="F29" s="13"/>
      <x:c r="G29" s="16" t="str">
        <x:f>IF('Auxiliar'!B8&lt;&gt;"OK","",IF(A29="","",IF(OR(C29="Próprio",I29&lt;&gt;"OK"),"",F29-'Auxiliar'!$B$5)))</x:f>
      </x:c>
      <x:c r="H29" s="16" t="str">
        <x:f>IF(A29="","",IF('Auxiliar'!B8&lt;&gt;"OK","Conferir Auxiliar",IF(A29="","",IF(I29&lt;&gt;"OK","Conferir cadastro",IF(C29="Próprio","Próprio",IF(G29&lt;0,"Vencido",IF(G29=0,"Vence hoje",IF(G29&lt;=30,"Em até 30 dias","Em prazo"))))))))</x:f>
      </x:c>
      <x:c r="I29" s="16" t="str">
        <x:f>IF(COUNTA(A29:F29)=0,"",IF(A29="","Informe ID",IF(COUNTIFS($A$7:$A$56,A29)&gt;1,"Duplicado",IF(OR(B29="",AND(C29&lt;&gt;"Locado",C29&lt;&gt;"Próprio")),"Incompleto",IF(C29="Próprio","OK",IF(OR(D29="",NOT(ISNUMBER(E29)),NOT(ISNUMBER(F29)),E29&lt;=0,F29&lt;E29),"Incompleto","OK"))))))</x:f>
      </x:c>
    </x:row>
    <x:row r="30" ht="40" customHeight="1">
      <x:c r="A30" s="23"/>
      <x:c r="B30" s="23"/>
      <x:c r="C30" s="23"/>
      <x:c r="D30" s="23"/>
      <x:c r="E30" s="13"/>
      <x:c r="F30" s="13"/>
      <x:c r="G30" s="16" t="str">
        <x:f>IF('Auxiliar'!B8&lt;&gt;"OK","",IF(A30="","",IF(OR(C30="Próprio",I30&lt;&gt;"OK"),"",F30-'Auxiliar'!$B$5)))</x:f>
      </x:c>
      <x:c r="H30" s="16" t="str">
        <x:f>IF(A30="","",IF('Auxiliar'!B8&lt;&gt;"OK","Conferir Auxiliar",IF(A30="","",IF(I30&lt;&gt;"OK","Conferir cadastro",IF(C30="Próprio","Próprio",IF(G30&lt;0,"Vencido",IF(G30=0,"Vence hoje",IF(G30&lt;=30,"Em até 30 dias","Em prazo"))))))))</x:f>
      </x:c>
      <x:c r="I30" s="16" t="str">
        <x:f>IF(COUNTA(A30:F30)=0,"",IF(A30="","Informe ID",IF(COUNTIFS($A$7:$A$56,A30)&gt;1,"Duplicado",IF(OR(B30="",AND(C30&lt;&gt;"Locado",C30&lt;&gt;"Próprio")),"Incompleto",IF(C30="Próprio","OK",IF(OR(D30="",NOT(ISNUMBER(E30)),NOT(ISNUMBER(F30)),E30&lt;=0,F30&lt;E30),"Incompleto","OK"))))))</x:f>
      </x:c>
    </x:row>
    <x:row r="31" ht="40" customHeight="1">
      <x:c r="A31" s="23"/>
      <x:c r="B31" s="23"/>
      <x:c r="C31" s="23"/>
      <x:c r="D31" s="23"/>
      <x:c r="E31" s="13"/>
      <x:c r="F31" s="13"/>
      <x:c r="G31" s="16" t="str">
        <x:f>IF('Auxiliar'!B8&lt;&gt;"OK","",IF(A31="","",IF(OR(C31="Próprio",I31&lt;&gt;"OK"),"",F31-'Auxiliar'!$B$5)))</x:f>
      </x:c>
      <x:c r="H31" s="16" t="str">
        <x:f>IF(A31="","",IF('Auxiliar'!B8&lt;&gt;"OK","Conferir Auxiliar",IF(A31="","",IF(I31&lt;&gt;"OK","Conferir cadastro",IF(C31="Próprio","Próprio",IF(G31&lt;0,"Vencido",IF(G31=0,"Vence hoje",IF(G31&lt;=30,"Em até 30 dias","Em prazo"))))))))</x:f>
      </x:c>
      <x:c r="I31" s="16" t="str">
        <x:f>IF(COUNTA(A31:F31)=0,"",IF(A31="","Informe ID",IF(COUNTIFS($A$7:$A$56,A31)&gt;1,"Duplicado",IF(OR(B31="",AND(C31&lt;&gt;"Locado",C31&lt;&gt;"Próprio")),"Incompleto",IF(C31="Próprio","OK",IF(OR(D31="",NOT(ISNUMBER(E31)),NOT(ISNUMBER(F31)),E31&lt;=0,F31&lt;E31),"Incompleto","OK"))))))</x:f>
      </x:c>
    </x:row>
    <x:row r="32" ht="40" customHeight="1">
      <x:c r="A32" s="23"/>
      <x:c r="B32" s="23"/>
      <x:c r="C32" s="23"/>
      <x:c r="D32" s="23"/>
      <x:c r="E32" s="13"/>
      <x:c r="F32" s="13"/>
      <x:c r="G32" s="16" t="str">
        <x:f>IF('Auxiliar'!B8&lt;&gt;"OK","",IF(A32="","",IF(OR(C32="Próprio",I32&lt;&gt;"OK"),"",F32-'Auxiliar'!$B$5)))</x:f>
      </x:c>
      <x:c r="H32" s="16" t="str">
        <x:f>IF(A32="","",IF('Auxiliar'!B8&lt;&gt;"OK","Conferir Auxiliar",IF(A32="","",IF(I32&lt;&gt;"OK","Conferir cadastro",IF(C32="Próprio","Próprio",IF(G32&lt;0,"Vencido",IF(G32=0,"Vence hoje",IF(G32&lt;=30,"Em até 30 dias","Em prazo"))))))))</x:f>
      </x:c>
      <x:c r="I32" s="16" t="str">
        <x:f>IF(COUNTA(A32:F32)=0,"",IF(A32="","Informe ID",IF(COUNTIFS($A$7:$A$56,A32)&gt;1,"Duplicado",IF(OR(B32="",AND(C32&lt;&gt;"Locado",C32&lt;&gt;"Próprio")),"Incompleto",IF(C32="Próprio","OK",IF(OR(D32="",NOT(ISNUMBER(E32)),NOT(ISNUMBER(F32)),E32&lt;=0,F32&lt;E32),"Incompleto","OK"))))))</x:f>
      </x:c>
    </x:row>
    <x:row r="33" ht="40" customHeight="1">
      <x:c r="A33" s="23"/>
      <x:c r="B33" s="23"/>
      <x:c r="C33" s="23"/>
      <x:c r="D33" s="23"/>
      <x:c r="E33" s="13"/>
      <x:c r="F33" s="13"/>
      <x:c r="G33" s="16" t="str">
        <x:f>IF('Auxiliar'!B8&lt;&gt;"OK","",IF(A33="","",IF(OR(C33="Próprio",I33&lt;&gt;"OK"),"",F33-'Auxiliar'!$B$5)))</x:f>
      </x:c>
      <x:c r="H33" s="16" t="str">
        <x:f>IF(A33="","",IF('Auxiliar'!B8&lt;&gt;"OK","Conferir Auxiliar",IF(A33="","",IF(I33&lt;&gt;"OK","Conferir cadastro",IF(C33="Próprio","Próprio",IF(G33&lt;0,"Vencido",IF(G33=0,"Vence hoje",IF(G33&lt;=30,"Em até 30 dias","Em prazo"))))))))</x:f>
      </x:c>
      <x:c r="I33" s="16" t="str">
        <x:f>IF(COUNTA(A33:F33)=0,"",IF(A33="","Informe ID",IF(COUNTIFS($A$7:$A$56,A33)&gt;1,"Duplicado",IF(OR(B33="",AND(C33&lt;&gt;"Locado",C33&lt;&gt;"Próprio")),"Incompleto",IF(C33="Próprio","OK",IF(OR(D33="",NOT(ISNUMBER(E33)),NOT(ISNUMBER(F33)),E33&lt;=0,F33&lt;E33),"Incompleto","OK"))))))</x:f>
      </x:c>
    </x:row>
    <x:row r="34" ht="40" customHeight="1">
      <x:c r="A34" s="23"/>
      <x:c r="B34" s="23"/>
      <x:c r="C34" s="23"/>
      <x:c r="D34" s="23"/>
      <x:c r="E34" s="13"/>
      <x:c r="F34" s="13"/>
      <x:c r="G34" s="16" t="str">
        <x:f>IF('Auxiliar'!B8&lt;&gt;"OK","",IF(A34="","",IF(OR(C34="Próprio",I34&lt;&gt;"OK"),"",F34-'Auxiliar'!$B$5)))</x:f>
      </x:c>
      <x:c r="H34" s="16" t="str">
        <x:f>IF(A34="","",IF('Auxiliar'!B8&lt;&gt;"OK","Conferir Auxiliar",IF(A34="","",IF(I34&lt;&gt;"OK","Conferir cadastro",IF(C34="Próprio","Próprio",IF(G34&lt;0,"Vencido",IF(G34=0,"Vence hoje",IF(G34&lt;=30,"Em até 30 dias","Em prazo"))))))))</x:f>
      </x:c>
      <x:c r="I34" s="16" t="str">
        <x:f>IF(COUNTA(A34:F34)=0,"",IF(A34="","Informe ID",IF(COUNTIFS($A$7:$A$56,A34)&gt;1,"Duplicado",IF(OR(B34="",AND(C34&lt;&gt;"Locado",C34&lt;&gt;"Próprio")),"Incompleto",IF(C34="Próprio","OK",IF(OR(D34="",NOT(ISNUMBER(E34)),NOT(ISNUMBER(F34)),E34&lt;=0,F34&lt;E34),"Incompleto","OK"))))))</x:f>
      </x:c>
    </x:row>
    <x:row r="35" ht="40" customHeight="1">
      <x:c r="A35" s="23"/>
      <x:c r="B35" s="23"/>
      <x:c r="C35" s="23"/>
      <x:c r="D35" s="23"/>
      <x:c r="E35" s="13"/>
      <x:c r="F35" s="13"/>
      <x:c r="G35" s="16" t="str">
        <x:f>IF('Auxiliar'!B8&lt;&gt;"OK","",IF(A35="","",IF(OR(C35="Próprio",I35&lt;&gt;"OK"),"",F35-'Auxiliar'!$B$5)))</x:f>
      </x:c>
      <x:c r="H35" s="16" t="str">
        <x:f>IF(A35="","",IF('Auxiliar'!B8&lt;&gt;"OK","Conferir Auxiliar",IF(A35="","",IF(I35&lt;&gt;"OK","Conferir cadastro",IF(C35="Próprio","Próprio",IF(G35&lt;0,"Vencido",IF(G35=0,"Vence hoje",IF(G35&lt;=30,"Em até 30 dias","Em prazo"))))))))</x:f>
      </x:c>
      <x:c r="I35" s="16" t="str">
        <x:f>IF(COUNTA(A35:F35)=0,"",IF(A35="","Informe ID",IF(COUNTIFS($A$7:$A$56,A35)&gt;1,"Duplicado",IF(OR(B35="",AND(C35&lt;&gt;"Locado",C35&lt;&gt;"Próprio")),"Incompleto",IF(C35="Próprio","OK",IF(OR(D35="",NOT(ISNUMBER(E35)),NOT(ISNUMBER(F35)),E35&lt;=0,F35&lt;E35),"Incompleto","OK"))))))</x:f>
      </x:c>
    </x:row>
    <x:row r="36" ht="40" customHeight="1">
      <x:c r="A36" s="23"/>
      <x:c r="B36" s="23"/>
      <x:c r="C36" s="23"/>
      <x:c r="D36" s="23"/>
      <x:c r="E36" s="13"/>
      <x:c r="F36" s="13"/>
      <x:c r="G36" s="16" t="str">
        <x:f>IF('Auxiliar'!B8&lt;&gt;"OK","",IF(A36="","",IF(OR(C36="Próprio",I36&lt;&gt;"OK"),"",F36-'Auxiliar'!$B$5)))</x:f>
      </x:c>
      <x:c r="H36" s="16" t="str">
        <x:f>IF(A36="","",IF('Auxiliar'!B8&lt;&gt;"OK","Conferir Auxiliar",IF(A36="","",IF(I36&lt;&gt;"OK","Conferir cadastro",IF(C36="Próprio","Próprio",IF(G36&lt;0,"Vencido",IF(G36=0,"Vence hoje",IF(G36&lt;=30,"Em até 30 dias","Em prazo"))))))))</x:f>
      </x:c>
      <x:c r="I36" s="16" t="str">
        <x:f>IF(COUNTA(A36:F36)=0,"",IF(A36="","Informe ID",IF(COUNTIFS($A$7:$A$56,A36)&gt;1,"Duplicado",IF(OR(B36="",AND(C36&lt;&gt;"Locado",C36&lt;&gt;"Próprio")),"Incompleto",IF(C36="Próprio","OK",IF(OR(D36="",NOT(ISNUMBER(E36)),NOT(ISNUMBER(F36)),E36&lt;=0,F36&lt;E36),"Incompleto","OK"))))))</x:f>
      </x:c>
    </x:row>
    <x:row r="37" ht="40" customHeight="1">
      <x:c r="A37" s="23"/>
      <x:c r="B37" s="23"/>
      <x:c r="C37" s="23"/>
      <x:c r="D37" s="23"/>
      <x:c r="E37" s="13"/>
      <x:c r="F37" s="13"/>
      <x:c r="G37" s="16" t="str">
        <x:f>IF('Auxiliar'!B8&lt;&gt;"OK","",IF(A37="","",IF(OR(C37="Próprio",I37&lt;&gt;"OK"),"",F37-'Auxiliar'!$B$5)))</x:f>
      </x:c>
      <x:c r="H37" s="16" t="str">
        <x:f>IF(A37="","",IF('Auxiliar'!B8&lt;&gt;"OK","Conferir Auxiliar",IF(A37="","",IF(I37&lt;&gt;"OK","Conferir cadastro",IF(C37="Próprio","Próprio",IF(G37&lt;0,"Vencido",IF(G37=0,"Vence hoje",IF(G37&lt;=30,"Em até 30 dias","Em prazo"))))))))</x:f>
      </x:c>
      <x:c r="I37" s="16" t="str">
        <x:f>IF(COUNTA(A37:F37)=0,"",IF(A37="","Informe ID",IF(COUNTIFS($A$7:$A$56,A37)&gt;1,"Duplicado",IF(OR(B37="",AND(C37&lt;&gt;"Locado",C37&lt;&gt;"Próprio")),"Incompleto",IF(C37="Próprio","OK",IF(OR(D37="",NOT(ISNUMBER(E37)),NOT(ISNUMBER(F37)),E37&lt;=0,F37&lt;E37),"Incompleto","OK"))))))</x:f>
      </x:c>
    </x:row>
    <x:row r="38" ht="40" customHeight="1">
      <x:c r="A38" s="23"/>
      <x:c r="B38" s="23"/>
      <x:c r="C38" s="23"/>
      <x:c r="D38" s="23"/>
      <x:c r="E38" s="13"/>
      <x:c r="F38" s="13"/>
      <x:c r="G38" s="16" t="str">
        <x:f>IF('Auxiliar'!B8&lt;&gt;"OK","",IF(A38="","",IF(OR(C38="Próprio",I38&lt;&gt;"OK"),"",F38-'Auxiliar'!$B$5)))</x:f>
      </x:c>
      <x:c r="H38" s="16" t="str">
        <x:f>IF(A38="","",IF('Auxiliar'!B8&lt;&gt;"OK","Conferir Auxiliar",IF(A38="","",IF(I38&lt;&gt;"OK","Conferir cadastro",IF(C38="Próprio","Próprio",IF(G38&lt;0,"Vencido",IF(G38=0,"Vence hoje",IF(G38&lt;=30,"Em até 30 dias","Em prazo"))))))))</x:f>
      </x:c>
      <x:c r="I38" s="16" t="str">
        <x:f>IF(COUNTA(A38:F38)=0,"",IF(A38="","Informe ID",IF(COUNTIFS($A$7:$A$56,A38)&gt;1,"Duplicado",IF(OR(B38="",AND(C38&lt;&gt;"Locado",C38&lt;&gt;"Próprio")),"Incompleto",IF(C38="Próprio","OK",IF(OR(D38="",NOT(ISNUMBER(E38)),NOT(ISNUMBER(F38)),E38&lt;=0,F38&lt;E38),"Incompleto","OK"))))))</x:f>
      </x:c>
    </x:row>
    <x:row r="39" ht="40" customHeight="1">
      <x:c r="A39" s="23"/>
      <x:c r="B39" s="23"/>
      <x:c r="C39" s="23"/>
      <x:c r="D39" s="23"/>
      <x:c r="E39" s="13"/>
      <x:c r="F39" s="13"/>
      <x:c r="G39" s="16" t="str">
        <x:f>IF('Auxiliar'!B8&lt;&gt;"OK","",IF(A39="","",IF(OR(C39="Próprio",I39&lt;&gt;"OK"),"",F39-'Auxiliar'!$B$5)))</x:f>
      </x:c>
      <x:c r="H39" s="16" t="str">
        <x:f>IF(A39="","",IF('Auxiliar'!B8&lt;&gt;"OK","Conferir Auxiliar",IF(A39="","",IF(I39&lt;&gt;"OK","Conferir cadastro",IF(C39="Próprio","Próprio",IF(G39&lt;0,"Vencido",IF(G39=0,"Vence hoje",IF(G39&lt;=30,"Em até 30 dias","Em prazo"))))))))</x:f>
      </x:c>
      <x:c r="I39" s="16" t="str">
        <x:f>IF(COUNTA(A39:F39)=0,"",IF(A39="","Informe ID",IF(COUNTIFS($A$7:$A$56,A39)&gt;1,"Duplicado",IF(OR(B39="",AND(C39&lt;&gt;"Locado",C39&lt;&gt;"Próprio")),"Incompleto",IF(C39="Próprio","OK",IF(OR(D39="",NOT(ISNUMBER(E39)),NOT(ISNUMBER(F39)),E39&lt;=0,F39&lt;E39),"Incompleto","OK"))))))</x:f>
      </x:c>
    </x:row>
    <x:row r="40" ht="40" customHeight="1">
      <x:c r="A40" s="23"/>
      <x:c r="B40" s="23"/>
      <x:c r="C40" s="23"/>
      <x:c r="D40" s="23"/>
      <x:c r="E40" s="13"/>
      <x:c r="F40" s="13"/>
      <x:c r="G40" s="16" t="str">
        <x:f>IF('Auxiliar'!B8&lt;&gt;"OK","",IF(A40="","",IF(OR(C40="Próprio",I40&lt;&gt;"OK"),"",F40-'Auxiliar'!$B$5)))</x:f>
      </x:c>
      <x:c r="H40" s="16" t="str">
        <x:f>IF(A40="","",IF('Auxiliar'!B8&lt;&gt;"OK","Conferir Auxiliar",IF(A40="","",IF(I40&lt;&gt;"OK","Conferir cadastro",IF(C40="Próprio","Próprio",IF(G40&lt;0,"Vencido",IF(G40=0,"Vence hoje",IF(G40&lt;=30,"Em até 30 dias","Em prazo"))))))))</x:f>
      </x:c>
      <x:c r="I40" s="16" t="str">
        <x:f>IF(COUNTA(A40:F40)=0,"",IF(A40="","Informe ID",IF(COUNTIFS($A$7:$A$56,A40)&gt;1,"Duplicado",IF(OR(B40="",AND(C40&lt;&gt;"Locado",C40&lt;&gt;"Próprio")),"Incompleto",IF(C40="Próprio","OK",IF(OR(D40="",NOT(ISNUMBER(E40)),NOT(ISNUMBER(F40)),E40&lt;=0,F40&lt;E40),"Incompleto","OK"))))))</x:f>
      </x:c>
    </x:row>
    <x:row r="41" ht="40" customHeight="1">
      <x:c r="A41" s="23"/>
      <x:c r="B41" s="23"/>
      <x:c r="C41" s="23"/>
      <x:c r="D41" s="23"/>
      <x:c r="E41" s="13"/>
      <x:c r="F41" s="13"/>
      <x:c r="G41" s="16" t="str">
        <x:f>IF('Auxiliar'!B8&lt;&gt;"OK","",IF(A41="","",IF(OR(C41="Próprio",I41&lt;&gt;"OK"),"",F41-'Auxiliar'!$B$5)))</x:f>
      </x:c>
      <x:c r="H41" s="16" t="str">
        <x:f>IF(A41="","",IF('Auxiliar'!B8&lt;&gt;"OK","Conferir Auxiliar",IF(A41="","",IF(I41&lt;&gt;"OK","Conferir cadastro",IF(C41="Próprio","Próprio",IF(G41&lt;0,"Vencido",IF(G41=0,"Vence hoje",IF(G41&lt;=30,"Em até 30 dias","Em prazo"))))))))</x:f>
      </x:c>
      <x:c r="I41" s="16" t="str">
        <x:f>IF(COUNTA(A41:F41)=0,"",IF(A41="","Informe ID",IF(COUNTIFS($A$7:$A$56,A41)&gt;1,"Duplicado",IF(OR(B41="",AND(C41&lt;&gt;"Locado",C41&lt;&gt;"Próprio")),"Incompleto",IF(C41="Próprio","OK",IF(OR(D41="",NOT(ISNUMBER(E41)),NOT(ISNUMBER(F41)),E41&lt;=0,F41&lt;E41),"Incompleto","OK"))))))</x:f>
      </x:c>
    </x:row>
    <x:row r="42" ht="40" customHeight="1">
      <x:c r="A42" s="23"/>
      <x:c r="B42" s="23"/>
      <x:c r="C42" s="23"/>
      <x:c r="D42" s="23"/>
      <x:c r="E42" s="13"/>
      <x:c r="F42" s="13"/>
      <x:c r="G42" s="16" t="str">
        <x:f>IF('Auxiliar'!B8&lt;&gt;"OK","",IF(A42="","",IF(OR(C42="Próprio",I42&lt;&gt;"OK"),"",F42-'Auxiliar'!$B$5)))</x:f>
      </x:c>
      <x:c r="H42" s="16" t="str">
        <x:f>IF(A42="","",IF('Auxiliar'!B8&lt;&gt;"OK","Conferir Auxiliar",IF(A42="","",IF(I42&lt;&gt;"OK","Conferir cadastro",IF(C42="Próprio","Próprio",IF(G42&lt;0,"Vencido",IF(G42=0,"Vence hoje",IF(G42&lt;=30,"Em até 30 dias","Em prazo"))))))))</x:f>
      </x:c>
      <x:c r="I42" s="16" t="str">
        <x:f>IF(COUNTA(A42:F42)=0,"",IF(A42="","Informe ID",IF(COUNTIFS($A$7:$A$56,A42)&gt;1,"Duplicado",IF(OR(B42="",AND(C42&lt;&gt;"Locado",C42&lt;&gt;"Próprio")),"Incompleto",IF(C42="Próprio","OK",IF(OR(D42="",NOT(ISNUMBER(E42)),NOT(ISNUMBER(F42)),E42&lt;=0,F42&lt;E42),"Incompleto","OK"))))))</x:f>
      </x:c>
    </x:row>
    <x:row r="43" ht="40" customHeight="1">
      <x:c r="A43" s="23"/>
      <x:c r="B43" s="23"/>
      <x:c r="C43" s="23"/>
      <x:c r="D43" s="23"/>
      <x:c r="E43" s="13"/>
      <x:c r="F43" s="13"/>
      <x:c r="G43" s="16" t="str">
        <x:f>IF('Auxiliar'!B8&lt;&gt;"OK","",IF(A43="","",IF(OR(C43="Próprio",I43&lt;&gt;"OK"),"",F43-'Auxiliar'!$B$5)))</x:f>
      </x:c>
      <x:c r="H43" s="16" t="str">
        <x:f>IF(A43="","",IF('Auxiliar'!B8&lt;&gt;"OK","Conferir Auxiliar",IF(A43="","",IF(I43&lt;&gt;"OK","Conferir cadastro",IF(C43="Próprio","Próprio",IF(G43&lt;0,"Vencido",IF(G43=0,"Vence hoje",IF(G43&lt;=30,"Em até 30 dias","Em prazo"))))))))</x:f>
      </x:c>
      <x:c r="I43" s="16" t="str">
        <x:f>IF(COUNTA(A43:F43)=0,"",IF(A43="","Informe ID",IF(COUNTIFS($A$7:$A$56,A43)&gt;1,"Duplicado",IF(OR(B43="",AND(C43&lt;&gt;"Locado",C43&lt;&gt;"Próprio")),"Incompleto",IF(C43="Próprio","OK",IF(OR(D43="",NOT(ISNUMBER(E43)),NOT(ISNUMBER(F43)),E43&lt;=0,F43&lt;E43),"Incompleto","OK"))))))</x:f>
      </x:c>
    </x:row>
    <x:row r="44" ht="40" customHeight="1">
      <x:c r="A44" s="23"/>
      <x:c r="B44" s="23"/>
      <x:c r="C44" s="23"/>
      <x:c r="D44" s="23"/>
      <x:c r="E44" s="13"/>
      <x:c r="F44" s="13"/>
      <x:c r="G44" s="16" t="str">
        <x:f>IF('Auxiliar'!B8&lt;&gt;"OK","",IF(A44="","",IF(OR(C44="Próprio",I44&lt;&gt;"OK"),"",F44-'Auxiliar'!$B$5)))</x:f>
      </x:c>
      <x:c r="H44" s="16" t="str">
        <x:f>IF(A44="","",IF('Auxiliar'!B8&lt;&gt;"OK","Conferir Auxiliar",IF(A44="","",IF(I44&lt;&gt;"OK","Conferir cadastro",IF(C44="Próprio","Próprio",IF(G44&lt;0,"Vencido",IF(G44=0,"Vence hoje",IF(G44&lt;=30,"Em até 30 dias","Em prazo"))))))))</x:f>
      </x:c>
      <x:c r="I44" s="16" t="str">
        <x:f>IF(COUNTA(A44:F44)=0,"",IF(A44="","Informe ID",IF(COUNTIFS($A$7:$A$56,A44)&gt;1,"Duplicado",IF(OR(B44="",AND(C44&lt;&gt;"Locado",C44&lt;&gt;"Próprio")),"Incompleto",IF(C44="Próprio","OK",IF(OR(D44="",NOT(ISNUMBER(E44)),NOT(ISNUMBER(F44)),E44&lt;=0,F44&lt;E44),"Incompleto","OK"))))))</x:f>
      </x:c>
    </x:row>
    <x:row r="45" ht="40" customHeight="1">
      <x:c r="A45" s="23"/>
      <x:c r="B45" s="23"/>
      <x:c r="C45" s="23"/>
      <x:c r="D45" s="23"/>
      <x:c r="E45" s="13"/>
      <x:c r="F45" s="13"/>
      <x:c r="G45" s="16" t="str">
        <x:f>IF('Auxiliar'!B8&lt;&gt;"OK","",IF(A45="","",IF(OR(C45="Próprio",I45&lt;&gt;"OK"),"",F45-'Auxiliar'!$B$5)))</x:f>
      </x:c>
      <x:c r="H45" s="16" t="str">
        <x:f>IF(A45="","",IF('Auxiliar'!B8&lt;&gt;"OK","Conferir Auxiliar",IF(A45="","",IF(I45&lt;&gt;"OK","Conferir cadastro",IF(C45="Próprio","Próprio",IF(G45&lt;0,"Vencido",IF(G45=0,"Vence hoje",IF(G45&lt;=30,"Em até 30 dias","Em prazo"))))))))</x:f>
      </x:c>
      <x:c r="I45" s="16" t="str">
        <x:f>IF(COUNTA(A45:F45)=0,"",IF(A45="","Informe ID",IF(COUNTIFS($A$7:$A$56,A45)&gt;1,"Duplicado",IF(OR(B45="",AND(C45&lt;&gt;"Locado",C45&lt;&gt;"Próprio")),"Incompleto",IF(C45="Próprio","OK",IF(OR(D45="",NOT(ISNUMBER(E45)),NOT(ISNUMBER(F45)),E45&lt;=0,F45&lt;E45),"Incompleto","OK"))))))</x:f>
      </x:c>
    </x:row>
    <x:row r="46" ht="40" customHeight="1">
      <x:c r="A46" s="23"/>
      <x:c r="B46" s="23"/>
      <x:c r="C46" s="23"/>
      <x:c r="D46" s="23"/>
      <x:c r="E46" s="13"/>
      <x:c r="F46" s="13"/>
      <x:c r="G46" s="16" t="str">
        <x:f>IF('Auxiliar'!B8&lt;&gt;"OK","",IF(A46="","",IF(OR(C46="Próprio",I46&lt;&gt;"OK"),"",F46-'Auxiliar'!$B$5)))</x:f>
      </x:c>
      <x:c r="H46" s="16" t="str">
        <x:f>IF(A46="","",IF('Auxiliar'!B8&lt;&gt;"OK","Conferir Auxiliar",IF(A46="","",IF(I46&lt;&gt;"OK","Conferir cadastro",IF(C46="Próprio","Próprio",IF(G46&lt;0,"Vencido",IF(G46=0,"Vence hoje",IF(G46&lt;=30,"Em até 30 dias","Em prazo"))))))))</x:f>
      </x:c>
      <x:c r="I46" s="16" t="str">
        <x:f>IF(COUNTA(A46:F46)=0,"",IF(A46="","Informe ID",IF(COUNTIFS($A$7:$A$56,A46)&gt;1,"Duplicado",IF(OR(B46="",AND(C46&lt;&gt;"Locado",C46&lt;&gt;"Próprio")),"Incompleto",IF(C46="Próprio","OK",IF(OR(D46="",NOT(ISNUMBER(E46)),NOT(ISNUMBER(F46)),E46&lt;=0,F46&lt;E46),"Incompleto","OK"))))))</x:f>
      </x:c>
    </x:row>
    <x:row r="47" ht="40" customHeight="1">
      <x:c r="A47" s="23"/>
      <x:c r="B47" s="23"/>
      <x:c r="C47" s="23"/>
      <x:c r="D47" s="23"/>
      <x:c r="E47" s="13"/>
      <x:c r="F47" s="13"/>
      <x:c r="G47" s="16" t="str">
        <x:f>IF('Auxiliar'!B8&lt;&gt;"OK","",IF(A47="","",IF(OR(C47="Próprio",I47&lt;&gt;"OK"),"",F47-'Auxiliar'!$B$5)))</x:f>
      </x:c>
      <x:c r="H47" s="16" t="str">
        <x:f>IF(A47="","",IF('Auxiliar'!B8&lt;&gt;"OK","Conferir Auxiliar",IF(A47="","",IF(I47&lt;&gt;"OK","Conferir cadastro",IF(C47="Próprio","Próprio",IF(G47&lt;0,"Vencido",IF(G47=0,"Vence hoje",IF(G47&lt;=30,"Em até 30 dias","Em prazo"))))))))</x:f>
      </x:c>
      <x:c r="I47" s="16" t="str">
        <x:f>IF(COUNTA(A47:F47)=0,"",IF(A47="","Informe ID",IF(COUNTIFS($A$7:$A$56,A47)&gt;1,"Duplicado",IF(OR(B47="",AND(C47&lt;&gt;"Locado",C47&lt;&gt;"Próprio")),"Incompleto",IF(C47="Próprio","OK",IF(OR(D47="",NOT(ISNUMBER(E47)),NOT(ISNUMBER(F47)),E47&lt;=0,F47&lt;E47),"Incompleto","OK"))))))</x:f>
      </x:c>
    </x:row>
    <x:row r="48" ht="40" customHeight="1">
      <x:c r="A48" s="23"/>
      <x:c r="B48" s="23"/>
      <x:c r="C48" s="23"/>
      <x:c r="D48" s="23"/>
      <x:c r="E48" s="13"/>
      <x:c r="F48" s="13"/>
      <x:c r="G48" s="16" t="str">
        <x:f>IF('Auxiliar'!B8&lt;&gt;"OK","",IF(A48="","",IF(OR(C48="Próprio",I48&lt;&gt;"OK"),"",F48-'Auxiliar'!$B$5)))</x:f>
      </x:c>
      <x:c r="H48" s="16" t="str">
        <x:f>IF(A48="","",IF('Auxiliar'!B8&lt;&gt;"OK","Conferir Auxiliar",IF(A48="","",IF(I48&lt;&gt;"OK","Conferir cadastro",IF(C48="Próprio","Próprio",IF(G48&lt;0,"Vencido",IF(G48=0,"Vence hoje",IF(G48&lt;=30,"Em até 30 dias","Em prazo"))))))))</x:f>
      </x:c>
      <x:c r="I48" s="16" t="str">
        <x:f>IF(COUNTA(A48:F48)=0,"",IF(A48="","Informe ID",IF(COUNTIFS($A$7:$A$56,A48)&gt;1,"Duplicado",IF(OR(B48="",AND(C48&lt;&gt;"Locado",C48&lt;&gt;"Próprio")),"Incompleto",IF(C48="Próprio","OK",IF(OR(D48="",NOT(ISNUMBER(E48)),NOT(ISNUMBER(F48)),E48&lt;=0,F48&lt;E48),"Incompleto","OK"))))))</x:f>
      </x:c>
    </x:row>
    <x:row r="49" ht="40" customHeight="1">
      <x:c r="A49" s="23"/>
      <x:c r="B49" s="23"/>
      <x:c r="C49" s="23"/>
      <x:c r="D49" s="23"/>
      <x:c r="E49" s="13"/>
      <x:c r="F49" s="13"/>
      <x:c r="G49" s="16" t="str">
        <x:f>IF('Auxiliar'!B8&lt;&gt;"OK","",IF(A49="","",IF(OR(C49="Próprio",I49&lt;&gt;"OK"),"",F49-'Auxiliar'!$B$5)))</x:f>
      </x:c>
      <x:c r="H49" s="16" t="str">
        <x:f>IF(A49="","",IF('Auxiliar'!B8&lt;&gt;"OK","Conferir Auxiliar",IF(A49="","",IF(I49&lt;&gt;"OK","Conferir cadastro",IF(C49="Próprio","Próprio",IF(G49&lt;0,"Vencido",IF(G49=0,"Vence hoje",IF(G49&lt;=30,"Em até 30 dias","Em prazo"))))))))</x:f>
      </x:c>
      <x:c r="I49" s="16" t="str">
        <x:f>IF(COUNTA(A49:F49)=0,"",IF(A49="","Informe ID",IF(COUNTIFS($A$7:$A$56,A49)&gt;1,"Duplicado",IF(OR(B49="",AND(C49&lt;&gt;"Locado",C49&lt;&gt;"Próprio")),"Incompleto",IF(C49="Próprio","OK",IF(OR(D49="",NOT(ISNUMBER(E49)),NOT(ISNUMBER(F49)),E49&lt;=0,F49&lt;E49),"Incompleto","OK"))))))</x:f>
      </x:c>
    </x:row>
    <x:row r="50" ht="40" customHeight="1">
      <x:c r="A50" s="23"/>
      <x:c r="B50" s="23"/>
      <x:c r="C50" s="23"/>
      <x:c r="D50" s="23"/>
      <x:c r="E50" s="13"/>
      <x:c r="F50" s="13"/>
      <x:c r="G50" s="16" t="str">
        <x:f>IF('Auxiliar'!B8&lt;&gt;"OK","",IF(A50="","",IF(OR(C50="Próprio",I50&lt;&gt;"OK"),"",F50-'Auxiliar'!$B$5)))</x:f>
      </x:c>
      <x:c r="H50" s="16" t="str">
        <x:f>IF(A50="","",IF('Auxiliar'!B8&lt;&gt;"OK","Conferir Auxiliar",IF(A50="","",IF(I50&lt;&gt;"OK","Conferir cadastro",IF(C50="Próprio","Próprio",IF(G50&lt;0,"Vencido",IF(G50=0,"Vence hoje",IF(G50&lt;=30,"Em até 30 dias","Em prazo"))))))))</x:f>
      </x:c>
      <x:c r="I50" s="16" t="str">
        <x:f>IF(COUNTA(A50:F50)=0,"",IF(A50="","Informe ID",IF(COUNTIFS($A$7:$A$56,A50)&gt;1,"Duplicado",IF(OR(B50="",AND(C50&lt;&gt;"Locado",C50&lt;&gt;"Próprio")),"Incompleto",IF(C50="Próprio","OK",IF(OR(D50="",NOT(ISNUMBER(E50)),NOT(ISNUMBER(F50)),E50&lt;=0,F50&lt;E50),"Incompleto","OK"))))))</x:f>
      </x:c>
    </x:row>
    <x:row r="51" ht="40" customHeight="1">
      <x:c r="A51" s="23"/>
      <x:c r="B51" s="23"/>
      <x:c r="C51" s="23"/>
      <x:c r="D51" s="23"/>
      <x:c r="E51" s="13"/>
      <x:c r="F51" s="13"/>
      <x:c r="G51" s="16" t="str">
        <x:f>IF('Auxiliar'!B8&lt;&gt;"OK","",IF(A51="","",IF(OR(C51="Próprio",I51&lt;&gt;"OK"),"",F51-'Auxiliar'!$B$5)))</x:f>
      </x:c>
      <x:c r="H51" s="16" t="str">
        <x:f>IF(A51="","",IF('Auxiliar'!B8&lt;&gt;"OK","Conferir Auxiliar",IF(A51="","",IF(I51&lt;&gt;"OK","Conferir cadastro",IF(C51="Próprio","Próprio",IF(G51&lt;0,"Vencido",IF(G51=0,"Vence hoje",IF(G51&lt;=30,"Em até 30 dias","Em prazo"))))))))</x:f>
      </x:c>
      <x:c r="I51" s="16" t="str">
        <x:f>IF(COUNTA(A51:F51)=0,"",IF(A51="","Informe ID",IF(COUNTIFS($A$7:$A$56,A51)&gt;1,"Duplicado",IF(OR(B51="",AND(C51&lt;&gt;"Locado",C51&lt;&gt;"Próprio")),"Incompleto",IF(C51="Próprio","OK",IF(OR(D51="",NOT(ISNUMBER(E51)),NOT(ISNUMBER(F51)),E51&lt;=0,F51&lt;E51),"Incompleto","OK"))))))</x:f>
      </x:c>
    </x:row>
    <x:row r="52" ht="40" customHeight="1">
      <x:c r="A52" s="23"/>
      <x:c r="B52" s="23"/>
      <x:c r="C52" s="23"/>
      <x:c r="D52" s="23"/>
      <x:c r="E52" s="13"/>
      <x:c r="F52" s="13"/>
      <x:c r="G52" s="16" t="str">
        <x:f>IF('Auxiliar'!B8&lt;&gt;"OK","",IF(A52="","",IF(OR(C52="Próprio",I52&lt;&gt;"OK"),"",F52-'Auxiliar'!$B$5)))</x:f>
      </x:c>
      <x:c r="H52" s="16" t="str">
        <x:f>IF(A52="","",IF('Auxiliar'!B8&lt;&gt;"OK","Conferir Auxiliar",IF(A52="","",IF(I52&lt;&gt;"OK","Conferir cadastro",IF(C52="Próprio","Próprio",IF(G52&lt;0,"Vencido",IF(G52=0,"Vence hoje",IF(G52&lt;=30,"Em até 30 dias","Em prazo"))))))))</x:f>
      </x:c>
      <x:c r="I52" s="16" t="str">
        <x:f>IF(COUNTA(A52:F52)=0,"",IF(A52="","Informe ID",IF(COUNTIFS($A$7:$A$56,A52)&gt;1,"Duplicado",IF(OR(B52="",AND(C52&lt;&gt;"Locado",C52&lt;&gt;"Próprio")),"Incompleto",IF(C52="Próprio","OK",IF(OR(D52="",NOT(ISNUMBER(E52)),NOT(ISNUMBER(F52)),E52&lt;=0,F52&lt;E52),"Incompleto","OK"))))))</x:f>
      </x:c>
    </x:row>
    <x:row r="53" ht="40" customHeight="1">
      <x:c r="A53" s="23"/>
      <x:c r="B53" s="23"/>
      <x:c r="C53" s="23"/>
      <x:c r="D53" s="23"/>
      <x:c r="E53" s="13"/>
      <x:c r="F53" s="13"/>
      <x:c r="G53" s="16" t="str">
        <x:f>IF('Auxiliar'!B8&lt;&gt;"OK","",IF(A53="","",IF(OR(C53="Próprio",I53&lt;&gt;"OK"),"",F53-'Auxiliar'!$B$5)))</x:f>
      </x:c>
      <x:c r="H53" s="16" t="str">
        <x:f>IF(A53="","",IF('Auxiliar'!B8&lt;&gt;"OK","Conferir Auxiliar",IF(A53="","",IF(I53&lt;&gt;"OK","Conferir cadastro",IF(C53="Próprio","Próprio",IF(G53&lt;0,"Vencido",IF(G53=0,"Vence hoje",IF(G53&lt;=30,"Em até 30 dias","Em prazo"))))))))</x:f>
      </x:c>
      <x:c r="I53" s="16" t="str">
        <x:f>IF(COUNTA(A53:F53)=0,"",IF(A53="","Informe ID",IF(COUNTIFS($A$7:$A$56,A53)&gt;1,"Duplicado",IF(OR(B53="",AND(C53&lt;&gt;"Locado",C53&lt;&gt;"Próprio")),"Incompleto",IF(C53="Próprio","OK",IF(OR(D53="",NOT(ISNUMBER(E53)),NOT(ISNUMBER(F53)),E53&lt;=0,F53&lt;E53),"Incompleto","OK"))))))</x:f>
      </x:c>
    </x:row>
    <x:row r="54" ht="40" customHeight="1">
      <x:c r="A54" s="23"/>
      <x:c r="B54" s="23"/>
      <x:c r="C54" s="23"/>
      <x:c r="D54" s="23"/>
      <x:c r="E54" s="13"/>
      <x:c r="F54" s="13"/>
      <x:c r="G54" s="16" t="str">
        <x:f>IF('Auxiliar'!B8&lt;&gt;"OK","",IF(A54="","",IF(OR(C54="Próprio",I54&lt;&gt;"OK"),"",F54-'Auxiliar'!$B$5)))</x:f>
      </x:c>
      <x:c r="H54" s="16" t="str">
        <x:f>IF(A54="","",IF('Auxiliar'!B8&lt;&gt;"OK","Conferir Auxiliar",IF(A54="","",IF(I54&lt;&gt;"OK","Conferir cadastro",IF(C54="Próprio","Próprio",IF(G54&lt;0,"Vencido",IF(G54=0,"Vence hoje",IF(G54&lt;=30,"Em até 30 dias","Em prazo"))))))))</x:f>
      </x:c>
      <x:c r="I54" s="16" t="str">
        <x:f>IF(COUNTA(A54:F54)=0,"",IF(A54="","Informe ID",IF(COUNTIFS($A$7:$A$56,A54)&gt;1,"Duplicado",IF(OR(B54="",AND(C54&lt;&gt;"Locado",C54&lt;&gt;"Próprio")),"Incompleto",IF(C54="Próprio","OK",IF(OR(D54="",NOT(ISNUMBER(E54)),NOT(ISNUMBER(F54)),E54&lt;=0,F54&lt;E54),"Incompleto","OK"))))))</x:f>
      </x:c>
    </x:row>
    <x:row r="55" ht="40" customHeight="1">
      <x:c r="A55" s="23"/>
      <x:c r="B55" s="23"/>
      <x:c r="C55" s="23"/>
      <x:c r="D55" s="23"/>
      <x:c r="E55" s="13"/>
      <x:c r="F55" s="13"/>
      <x:c r="G55" s="16" t="str">
        <x:f>IF('Auxiliar'!B8&lt;&gt;"OK","",IF(A55="","",IF(OR(C55="Próprio",I55&lt;&gt;"OK"),"",F55-'Auxiliar'!$B$5)))</x:f>
      </x:c>
      <x:c r="H55" s="16" t="str">
        <x:f>IF(A55="","",IF('Auxiliar'!B8&lt;&gt;"OK","Conferir Auxiliar",IF(A55="","",IF(I55&lt;&gt;"OK","Conferir cadastro",IF(C55="Próprio","Próprio",IF(G55&lt;0,"Vencido",IF(G55=0,"Vence hoje",IF(G55&lt;=30,"Em até 30 dias","Em prazo"))))))))</x:f>
      </x:c>
      <x:c r="I55" s="16" t="str">
        <x:f>IF(COUNTA(A55:F55)=0,"",IF(A55="","Informe ID",IF(COUNTIFS($A$7:$A$56,A55)&gt;1,"Duplicado",IF(OR(B55="",AND(C55&lt;&gt;"Locado",C55&lt;&gt;"Próprio")),"Incompleto",IF(C55="Próprio","OK",IF(OR(D55="",NOT(ISNUMBER(E55)),NOT(ISNUMBER(F55)),E55&lt;=0,F55&lt;E55),"Incompleto","OK"))))))</x:f>
      </x:c>
    </x:row>
    <x:row r="56" ht="40" customHeight="1">
      <x:c r="A56" s="23"/>
      <x:c r="B56" s="23"/>
      <x:c r="C56" s="23"/>
      <x:c r="D56" s="23"/>
      <x:c r="E56" s="13"/>
      <x:c r="F56" s="13"/>
      <x:c r="G56" s="16" t="str">
        <x:f>IF('Auxiliar'!B8&lt;&gt;"OK","",IF(A56="","",IF(OR(C56="Próprio",I56&lt;&gt;"OK"),"",F56-'Auxiliar'!$B$5)))</x:f>
      </x:c>
      <x:c r="H56" s="16" t="str">
        <x:f>IF(A56="","",IF('Auxiliar'!B8&lt;&gt;"OK","Conferir Auxiliar",IF(A56="","",IF(I56&lt;&gt;"OK","Conferir cadastro",IF(C56="Próprio","Próprio",IF(G56&lt;0,"Vencido",IF(G56=0,"Vence hoje",IF(G56&lt;=30,"Em até 30 dias","Em prazo"))))))))</x:f>
      </x:c>
      <x:c r="I56" s="16" t="str">
        <x:f>IF(COUNTA(A56:F56)=0,"",IF(A56="","Informe ID",IF(COUNTIFS($A$7:$A$56,A56)&gt;1,"Duplicado",IF(OR(B56="",AND(C56&lt;&gt;"Locado",C56&lt;&gt;"Próprio")),"Incompleto",IF(C56="Próprio","OK",IF(OR(D56="",NOT(ISNUMBER(E56)),NOT(ISNUMBER(F56)),E56&lt;=0,F56&lt;E56),"Incompleto","OK"))))))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</x:row>
  </x:sheetData>
  <x:conditionalFormatting sqref="G7:I56">
    <x:cfRule type="containsText" dxfId="10" priority="1" operator="containsText" text="Vencido"/>
    <x:cfRule type="containsText" dxfId="11" priority="2" operator="containsText" text="Vence hoje"/>
    <x:cfRule type="containsText" dxfId="12" priority="3" operator="containsText" text="Revisar"/>
    <x:cfRule type="containsText" dxfId="13" priority="4" operator="containsText" text="Incompleto"/>
    <x:cfRule type="containsText" dxfId="14" priority="5" operator="containsText" text="Duplicado"/>
    <x:cfRule type="containsText" dxfId="15" priority="6" operator="containsText" text="Sem cadastro"/>
    <x:cfRule type="containsText" dxfId="16" priority="7" operator="containsText" text="Conferir"/>
    <x:cfRule type="containsText" dxfId="17" priority="8" operator="containsText" text="Aluguel indevido"/>
    <x:cfRule type="containsText" dxfId="18" priority="9" operator="containsText" text="Risco"/>
    <x:cfRule type="containsText" dxfId="19" priority="10" operator="containsText" text="Em até 30 dias"/>
  </x:conditionalFormatting>
  <x:conditionalFormatting sqref="I7:I56">
    <x:cfRule type="containsText" dxfId="40" priority="11" operator="containsText" text="Informe"/>
  </x:conditionalFormatting>
  <x:dataValidations count="1">
    <x:dataValidation type="list" sqref="C7:C56">
      <x:formula1>"Locado,Próprio"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ff7fc2f2754421"/>
  </x:tableParts>
</x:worksheet>
</file>

<file path=xl/worksheets/sheet3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17" hidden="0" customWidth="1"/>
    <x:col min="5" max="5" width="18" hidden="0" customWidth="1"/>
    <x:col min="6" max="6" width="16" hidden="0" customWidth="1"/>
    <x:col min="7" max="7" width="19" hidden="0" customWidth="1"/>
    <x:col min="8" max="8" width="17" hidden="0" customWidth="1"/>
    <x:col min="9" max="9" width="27" hidden="0" customWidth="1"/>
    <x:col min="10" max="10" width="27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5" t="str">
        <x:v>Obrigacoes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4" t="str">
        <x:v>Cadastre uma obrigação por linha. Aluguel é permitido apenas para imóveis locados.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46" customHeight="1">
      <x:c r="A6" s="21" t="str">
        <x:v>ID obrigação</x:v>
      </x:c>
      <x:c r="B6" s="21" t="str">
        <x:v>Imóvel</x:v>
      </x:c>
      <x:c r="C6" s="21" t="str">
        <x:v>Tipo de obrigação</x:v>
      </x:c>
      <x:c r="D6" s="21" t="str">
        <x:v>Competência</x:v>
      </x:c>
      <x:c r="E6" s="21" t="str">
        <x:v>Valor (R$)</x:v>
      </x:c>
      <x:c r="F6" s="21" t="str">
        <x:v>Vencimento</x:v>
      </x:c>
      <x:c r="G6" s="21" t="str">
        <x:v>Data de pagamento</x:v>
      </x:c>
      <x:c r="H6" s="21" t="str">
        <x:v>Documentos</x:v>
      </x:c>
      <x:c r="I6" s="21" t="str">
        <x:v>Situação na referência</x:v>
      </x:c>
      <x:c r="J6" s="21" t="str">
        <x:v>Cadastro</x:v>
      </x:c>
    </x:row>
    <x:row r="7" ht="40" customHeight="1">
      <x:c r="A7" s="23"/>
      <x:c r="B7" s="23"/>
      <x:c r="C7" s="23"/>
      <x:c r="D7" s="24"/>
      <x:c r="E7" s="26"/>
      <x:c r="F7" s="13"/>
      <x:c r="G7" s="13"/>
      <x:c r="H7" s="23"/>
      <x:c r="I7" s="16" t="str">
        <x:f>IF(A7="","",IF('Auxiliar'!B8&lt;&gt;"OK","Conferir Auxiliar",IF(A7="","",IF(J7&lt;&gt;"OK","Conferir cadastro",IF(G7&lt;&gt;"",IF(AND(ISNUMBER(G7),G7&gt;0,G7&lt;='Auxiliar'!$B$5),"Pago","Conferir data"),IF(F7&lt;'Auxiliar'!$B$5,"Vencido",IF(F7='Auxiliar'!$B$5,"Vence hoje","A vencer")))))))</x:f>
      </x:c>
      <x:c r="J7" s="16" t="str">
        <x:f>IF(COUNTA(A7:H7)=0,"",IF(A7="","Informe ID",IF(COUNTIFS($A$7:$A$56,A7)&gt;1,"Duplicado",IF(COUNTIFS('Imoveis'!$A$7:$A$56,B7)&lt;&gt;1,"Sem cadastro único",IF(AND(C7="Aluguel",INDEX('Imoveis'!$C$7:$C$56,MATCH(B7,'Imoveis'!$A$7:$A$56,0))="Próprio"),"Aluguel indevido",IF(OR(C7="",NOT(ISNUMBER(D7)),D7&lt;=0,NOT(ISNUMBER(E7)),E7&lt;0,NOT(ISNUMBER(F7)),F7&lt;=0,AND(H7&lt;&gt;"Completa",H7&lt;&gt;"Pendente")),"Incompleto",IF(AND(G7&lt;&gt;"",OR(NOT(ISNUMBER(G7)),G7&lt;=0,G7&gt;'Auxiliar'!$B$5)),"Conferir data","OK")))))))</x:f>
      </x:c>
    </x:row>
    <x:row r="8" ht="40" customHeight="1">
      <x:c r="A8" s="23"/>
      <x:c r="B8" s="23"/>
      <x:c r="C8" s="23"/>
      <x:c r="D8" s="24"/>
      <x:c r="E8" s="26"/>
      <x:c r="F8" s="13"/>
      <x:c r="G8" s="13"/>
      <x:c r="H8" s="23"/>
      <x:c r="I8" s="16" t="str">
        <x:f>IF(A8="","",IF('Auxiliar'!B8&lt;&gt;"OK","Conferir Auxiliar",IF(A8="","",IF(J8&lt;&gt;"OK","Conferir cadastro",IF(G8&lt;&gt;"",IF(AND(ISNUMBER(G8),G8&gt;0,G8&lt;='Auxiliar'!$B$5),"Pago","Conferir data"),IF(F8&lt;'Auxiliar'!$B$5,"Vencido",IF(F8='Auxiliar'!$B$5,"Vence hoje","A vencer")))))))</x:f>
      </x:c>
      <x:c r="J8" s="16" t="str">
        <x:f>IF(COUNTA(A8:H8)=0,"",IF(A8="","Informe ID",IF(COUNTIFS($A$7:$A$56,A8)&gt;1,"Duplicado",IF(COUNTIFS('Imoveis'!$A$7:$A$56,B8)&lt;&gt;1,"Sem cadastro único",IF(AND(C8="Aluguel",INDEX('Imoveis'!$C$7:$C$56,MATCH(B8,'Imoveis'!$A$7:$A$56,0))="Próprio"),"Aluguel indevido",IF(OR(C8="",NOT(ISNUMBER(D8)),D8&lt;=0,NOT(ISNUMBER(E8)),E8&lt;0,NOT(ISNUMBER(F8)),F8&lt;=0,AND(H8&lt;&gt;"Completa",H8&lt;&gt;"Pendente")),"Incompleto",IF(AND(G8&lt;&gt;"",OR(NOT(ISNUMBER(G8)),G8&lt;=0,G8&gt;'Auxiliar'!$B$5)),"Conferir data","OK")))))))</x:f>
      </x:c>
    </x:row>
    <x:row r="9" ht="40" customHeight="1">
      <x:c r="A9" s="23"/>
      <x:c r="B9" s="23"/>
      <x:c r="C9" s="23"/>
      <x:c r="D9" s="24"/>
      <x:c r="E9" s="26"/>
      <x:c r="F9" s="13"/>
      <x:c r="G9" s="13"/>
      <x:c r="H9" s="23"/>
      <x:c r="I9" s="16" t="str">
        <x:f>IF(A9="","",IF('Auxiliar'!B8&lt;&gt;"OK","Conferir Auxiliar",IF(A9="","",IF(J9&lt;&gt;"OK","Conferir cadastro",IF(G9&lt;&gt;"",IF(AND(ISNUMBER(G9),G9&gt;0,G9&lt;='Auxiliar'!$B$5),"Pago","Conferir data"),IF(F9&lt;'Auxiliar'!$B$5,"Vencido",IF(F9='Auxiliar'!$B$5,"Vence hoje","A vencer")))))))</x:f>
      </x:c>
      <x:c r="J9" s="16" t="str">
        <x:f>IF(COUNTA(A9:H9)=0,"",IF(A9="","Informe ID",IF(COUNTIFS($A$7:$A$56,A9)&gt;1,"Duplicado",IF(COUNTIFS('Imoveis'!$A$7:$A$56,B9)&lt;&gt;1,"Sem cadastro único",IF(AND(C9="Aluguel",INDEX('Imoveis'!$C$7:$C$56,MATCH(B9,'Imoveis'!$A$7:$A$56,0))="Próprio"),"Aluguel indevido",IF(OR(C9="",NOT(ISNUMBER(D9)),D9&lt;=0,NOT(ISNUMBER(E9)),E9&lt;0,NOT(ISNUMBER(F9)),F9&lt;=0,AND(H9&lt;&gt;"Completa",H9&lt;&gt;"Pendente")),"Incompleto",IF(AND(G9&lt;&gt;"",OR(NOT(ISNUMBER(G9)),G9&lt;=0,G9&gt;'Auxiliar'!$B$5)),"Conferir data","OK")))))))</x:f>
      </x:c>
    </x:row>
    <x:row r="10" ht="40" customHeight="1">
      <x:c r="A10" s="23"/>
      <x:c r="B10" s="23"/>
      <x:c r="C10" s="23"/>
      <x:c r="D10" s="24"/>
      <x:c r="E10" s="26"/>
      <x:c r="F10" s="13"/>
      <x:c r="G10" s="13"/>
      <x:c r="H10" s="23"/>
      <x:c r="I10" s="16" t="str">
        <x:f>IF(A10="","",IF('Auxiliar'!B8&lt;&gt;"OK","Conferir Auxiliar",IF(A10="","",IF(J10&lt;&gt;"OK","Conferir cadastro",IF(G10&lt;&gt;"",IF(AND(ISNUMBER(G10),G10&gt;0,G10&lt;='Auxiliar'!$B$5),"Pago","Conferir data"),IF(F10&lt;'Auxiliar'!$B$5,"Vencido",IF(F10='Auxiliar'!$B$5,"Vence hoje","A vencer")))))))</x:f>
      </x:c>
      <x:c r="J10" s="16" t="str">
        <x:f>IF(COUNTA(A10:H10)=0,"",IF(A10="","Informe ID",IF(COUNTIFS($A$7:$A$56,A10)&gt;1,"Duplicado",IF(COUNTIFS('Imoveis'!$A$7:$A$56,B10)&lt;&gt;1,"Sem cadastro único",IF(AND(C10="Aluguel",INDEX('Imoveis'!$C$7:$C$56,MATCH(B10,'Imoveis'!$A$7:$A$56,0))="Próprio"),"Aluguel indevido",IF(OR(C10="",NOT(ISNUMBER(D10)),D10&lt;=0,NOT(ISNUMBER(E10)),E10&lt;0,NOT(ISNUMBER(F10)),F10&lt;=0,AND(H10&lt;&gt;"Completa",H10&lt;&gt;"Pendente")),"Incompleto",IF(AND(G10&lt;&gt;"",OR(NOT(ISNUMBER(G10)),G10&lt;=0,G10&gt;'Auxiliar'!$B$5)),"Conferir data","OK")))))))</x:f>
      </x:c>
    </x:row>
    <x:row r="11" ht="40" customHeight="1">
      <x:c r="A11" s="23"/>
      <x:c r="B11" s="23"/>
      <x:c r="C11" s="23"/>
      <x:c r="D11" s="24"/>
      <x:c r="E11" s="26"/>
      <x:c r="F11" s="13"/>
      <x:c r="G11" s="13"/>
      <x:c r="H11" s="23"/>
      <x:c r="I11" s="16" t="str">
        <x:f>IF(A11="","",IF('Auxiliar'!B8&lt;&gt;"OK","Conferir Auxiliar",IF(A11="","",IF(J11&lt;&gt;"OK","Conferir cadastro",IF(G11&lt;&gt;"",IF(AND(ISNUMBER(G11),G11&gt;0,G11&lt;='Auxiliar'!$B$5),"Pago","Conferir data"),IF(F11&lt;'Auxiliar'!$B$5,"Vencido",IF(F11='Auxiliar'!$B$5,"Vence hoje","A vencer")))))))</x:f>
      </x:c>
      <x:c r="J11" s="16" t="str">
        <x:f>IF(COUNTA(A11:H11)=0,"",IF(A11="","Informe ID",IF(COUNTIFS($A$7:$A$56,A11)&gt;1,"Duplicado",IF(COUNTIFS('Imoveis'!$A$7:$A$56,B11)&lt;&gt;1,"Sem cadastro único",IF(AND(C11="Aluguel",INDEX('Imoveis'!$C$7:$C$56,MATCH(B11,'Imoveis'!$A$7:$A$56,0))="Próprio"),"Aluguel indevido",IF(OR(C11="",NOT(ISNUMBER(D11)),D11&lt;=0,NOT(ISNUMBER(E11)),E11&lt;0,NOT(ISNUMBER(F11)),F11&lt;=0,AND(H11&lt;&gt;"Completa",H11&lt;&gt;"Pendente")),"Incompleto",IF(AND(G11&lt;&gt;"",OR(NOT(ISNUMBER(G11)),G11&lt;=0,G11&gt;'Auxiliar'!$B$5)),"Conferir data","OK")))))))</x:f>
      </x:c>
    </x:row>
    <x:row r="12" ht="40" customHeight="1">
      <x:c r="A12" s="23"/>
      <x:c r="B12" s="23"/>
      <x:c r="C12" s="23"/>
      <x:c r="D12" s="24"/>
      <x:c r="E12" s="26"/>
      <x:c r="F12" s="13"/>
      <x:c r="G12" s="13"/>
      <x:c r="H12" s="23"/>
      <x:c r="I12" s="16" t="str">
        <x:f>IF(A12="","",IF('Auxiliar'!B8&lt;&gt;"OK","Conferir Auxiliar",IF(A12="","",IF(J12&lt;&gt;"OK","Conferir cadastro",IF(G12&lt;&gt;"",IF(AND(ISNUMBER(G12),G12&gt;0,G12&lt;='Auxiliar'!$B$5),"Pago","Conferir data"),IF(F12&lt;'Auxiliar'!$B$5,"Vencido",IF(F12='Auxiliar'!$B$5,"Vence hoje","A vencer")))))))</x:f>
      </x:c>
      <x:c r="J12" s="16" t="str">
        <x:f>IF(COUNTA(A12:H12)=0,"",IF(A12="","Informe ID",IF(COUNTIFS($A$7:$A$56,A12)&gt;1,"Duplicado",IF(COUNTIFS('Imoveis'!$A$7:$A$56,B12)&lt;&gt;1,"Sem cadastro único",IF(AND(C12="Aluguel",INDEX('Imoveis'!$C$7:$C$56,MATCH(B12,'Imoveis'!$A$7:$A$56,0))="Próprio"),"Aluguel indevido",IF(OR(C12="",NOT(ISNUMBER(D12)),D12&lt;=0,NOT(ISNUMBER(E12)),E12&lt;0,NOT(ISNUMBER(F12)),F12&lt;=0,AND(H12&lt;&gt;"Completa",H12&lt;&gt;"Pendente")),"Incompleto",IF(AND(G12&lt;&gt;"",OR(NOT(ISNUMBER(G12)),G12&lt;=0,G12&gt;'Auxiliar'!$B$5)),"Conferir data","OK")))))))</x:f>
      </x:c>
    </x:row>
    <x:row r="13" ht="40" customHeight="1">
      <x:c r="A13" s="23"/>
      <x:c r="B13" s="23"/>
      <x:c r="C13" s="23"/>
      <x:c r="D13" s="24"/>
      <x:c r="E13" s="26"/>
      <x:c r="F13" s="13"/>
      <x:c r="G13" s="13"/>
      <x:c r="H13" s="23"/>
      <x:c r="I13" s="16" t="str">
        <x:f>IF(A13="","",IF('Auxiliar'!B8&lt;&gt;"OK","Conferir Auxiliar",IF(A13="","",IF(J13&lt;&gt;"OK","Conferir cadastro",IF(G13&lt;&gt;"",IF(AND(ISNUMBER(G13),G13&gt;0,G13&lt;='Auxiliar'!$B$5),"Pago","Conferir data"),IF(F13&lt;'Auxiliar'!$B$5,"Vencido",IF(F13='Auxiliar'!$B$5,"Vence hoje","A vencer")))))))</x:f>
      </x:c>
      <x:c r="J13" s="16" t="str">
        <x:f>IF(COUNTA(A13:H13)=0,"",IF(A13="","Informe ID",IF(COUNTIFS($A$7:$A$56,A13)&gt;1,"Duplicado",IF(COUNTIFS('Imoveis'!$A$7:$A$56,B13)&lt;&gt;1,"Sem cadastro único",IF(AND(C13="Aluguel",INDEX('Imoveis'!$C$7:$C$56,MATCH(B13,'Imoveis'!$A$7:$A$56,0))="Próprio"),"Aluguel indevido",IF(OR(C13="",NOT(ISNUMBER(D13)),D13&lt;=0,NOT(ISNUMBER(E13)),E13&lt;0,NOT(ISNUMBER(F13)),F13&lt;=0,AND(H13&lt;&gt;"Completa",H13&lt;&gt;"Pendente")),"Incompleto",IF(AND(G13&lt;&gt;"",OR(NOT(ISNUMBER(G13)),G13&lt;=0,G13&gt;'Auxiliar'!$B$5)),"Conferir data","OK")))))))</x:f>
      </x:c>
    </x:row>
    <x:row r="14" ht="40" customHeight="1">
      <x:c r="A14" s="23"/>
      <x:c r="B14" s="23"/>
      <x:c r="C14" s="23"/>
      <x:c r="D14" s="24"/>
      <x:c r="E14" s="26"/>
      <x:c r="F14" s="13"/>
      <x:c r="G14" s="13"/>
      <x:c r="H14" s="23"/>
      <x:c r="I14" s="16" t="str">
        <x:f>IF(A14="","",IF('Auxiliar'!B8&lt;&gt;"OK","Conferir Auxiliar",IF(A14="","",IF(J14&lt;&gt;"OK","Conferir cadastro",IF(G14&lt;&gt;"",IF(AND(ISNUMBER(G14),G14&gt;0,G14&lt;='Auxiliar'!$B$5),"Pago","Conferir data"),IF(F14&lt;'Auxiliar'!$B$5,"Vencido",IF(F14='Auxiliar'!$B$5,"Vence hoje","A vencer")))))))</x:f>
      </x:c>
      <x:c r="J14" s="16" t="str">
        <x:f>IF(COUNTA(A14:H14)=0,"",IF(A14="","Informe ID",IF(COUNTIFS($A$7:$A$56,A14)&gt;1,"Duplicado",IF(COUNTIFS('Imoveis'!$A$7:$A$56,B14)&lt;&gt;1,"Sem cadastro único",IF(AND(C14="Aluguel",INDEX('Imoveis'!$C$7:$C$56,MATCH(B14,'Imoveis'!$A$7:$A$56,0))="Próprio"),"Aluguel indevido",IF(OR(C14="",NOT(ISNUMBER(D14)),D14&lt;=0,NOT(ISNUMBER(E14)),E14&lt;0,NOT(ISNUMBER(F14)),F14&lt;=0,AND(H14&lt;&gt;"Completa",H14&lt;&gt;"Pendente")),"Incompleto",IF(AND(G14&lt;&gt;"",OR(NOT(ISNUMBER(G14)),G14&lt;=0,G14&gt;'Auxiliar'!$B$5)),"Conferir data","OK")))))))</x:f>
      </x:c>
    </x:row>
    <x:row r="15" ht="40" customHeight="1">
      <x:c r="A15" s="23"/>
      <x:c r="B15" s="23"/>
      <x:c r="C15" s="23"/>
      <x:c r="D15" s="24"/>
      <x:c r="E15" s="26"/>
      <x:c r="F15" s="13"/>
      <x:c r="G15" s="13"/>
      <x:c r="H15" s="23"/>
      <x:c r="I15" s="16" t="str">
        <x:f>IF(A15="","",IF('Auxiliar'!B8&lt;&gt;"OK","Conferir Auxiliar",IF(A15="","",IF(J15&lt;&gt;"OK","Conferir cadastro",IF(G15&lt;&gt;"",IF(AND(ISNUMBER(G15),G15&gt;0,G15&lt;='Auxiliar'!$B$5),"Pago","Conferir data"),IF(F15&lt;'Auxiliar'!$B$5,"Vencido",IF(F15='Auxiliar'!$B$5,"Vence hoje","A vencer")))))))</x:f>
      </x:c>
      <x:c r="J15" s="16" t="str">
        <x:f>IF(COUNTA(A15:H15)=0,"",IF(A15="","Informe ID",IF(COUNTIFS($A$7:$A$56,A15)&gt;1,"Duplicado",IF(COUNTIFS('Imoveis'!$A$7:$A$56,B15)&lt;&gt;1,"Sem cadastro único",IF(AND(C15="Aluguel",INDEX('Imoveis'!$C$7:$C$56,MATCH(B15,'Imoveis'!$A$7:$A$56,0))="Próprio"),"Aluguel indevido",IF(OR(C15="",NOT(ISNUMBER(D15)),D15&lt;=0,NOT(ISNUMBER(E15)),E15&lt;0,NOT(ISNUMBER(F15)),F15&lt;=0,AND(H15&lt;&gt;"Completa",H15&lt;&gt;"Pendente")),"Incompleto",IF(AND(G15&lt;&gt;"",OR(NOT(ISNUMBER(G15)),G15&lt;=0,G15&gt;'Auxiliar'!$B$5)),"Conferir data","OK")))))))</x:f>
      </x:c>
    </x:row>
    <x:row r="16" ht="40" customHeight="1">
      <x:c r="A16" s="23"/>
      <x:c r="B16" s="23"/>
      <x:c r="C16" s="23"/>
      <x:c r="D16" s="24"/>
      <x:c r="E16" s="26"/>
      <x:c r="F16" s="13"/>
      <x:c r="G16" s="13"/>
      <x:c r="H16" s="23"/>
      <x:c r="I16" s="16" t="str">
        <x:f>IF(A16="","",IF('Auxiliar'!B8&lt;&gt;"OK","Conferir Auxiliar",IF(A16="","",IF(J16&lt;&gt;"OK","Conferir cadastro",IF(G16&lt;&gt;"",IF(AND(ISNUMBER(G16),G16&gt;0,G16&lt;='Auxiliar'!$B$5),"Pago","Conferir data"),IF(F16&lt;'Auxiliar'!$B$5,"Vencido",IF(F16='Auxiliar'!$B$5,"Vence hoje","A vencer")))))))</x:f>
      </x:c>
      <x:c r="J16" s="16" t="str">
        <x:f>IF(COUNTA(A16:H16)=0,"",IF(A16="","Informe ID",IF(COUNTIFS($A$7:$A$56,A16)&gt;1,"Duplicado",IF(COUNTIFS('Imoveis'!$A$7:$A$56,B16)&lt;&gt;1,"Sem cadastro único",IF(AND(C16="Aluguel",INDEX('Imoveis'!$C$7:$C$56,MATCH(B16,'Imoveis'!$A$7:$A$56,0))="Próprio"),"Aluguel indevido",IF(OR(C16="",NOT(ISNUMBER(D16)),D16&lt;=0,NOT(ISNUMBER(E16)),E16&lt;0,NOT(ISNUMBER(F16)),F16&lt;=0,AND(H16&lt;&gt;"Completa",H16&lt;&gt;"Pendente")),"Incompleto",IF(AND(G16&lt;&gt;"",OR(NOT(ISNUMBER(G16)),G16&lt;=0,G16&gt;'Auxiliar'!$B$5)),"Conferir data","OK")))))))</x:f>
      </x:c>
    </x:row>
    <x:row r="17" ht="40" customHeight="1">
      <x:c r="A17" s="23"/>
      <x:c r="B17" s="23"/>
      <x:c r="C17" s="23"/>
      <x:c r="D17" s="24"/>
      <x:c r="E17" s="26"/>
      <x:c r="F17" s="13"/>
      <x:c r="G17" s="13"/>
      <x:c r="H17" s="23"/>
      <x:c r="I17" s="16" t="str">
        <x:f>IF(A17="","",IF('Auxiliar'!B8&lt;&gt;"OK","Conferir Auxiliar",IF(A17="","",IF(J17&lt;&gt;"OK","Conferir cadastro",IF(G17&lt;&gt;"",IF(AND(ISNUMBER(G17),G17&gt;0,G17&lt;='Auxiliar'!$B$5),"Pago","Conferir data"),IF(F17&lt;'Auxiliar'!$B$5,"Vencido",IF(F17='Auxiliar'!$B$5,"Vence hoje","A vencer")))))))</x:f>
      </x:c>
      <x:c r="J17" s="16" t="str">
        <x:f>IF(COUNTA(A17:H17)=0,"",IF(A17="","Informe ID",IF(COUNTIFS($A$7:$A$56,A17)&gt;1,"Duplicado",IF(COUNTIFS('Imoveis'!$A$7:$A$56,B17)&lt;&gt;1,"Sem cadastro único",IF(AND(C17="Aluguel",INDEX('Imoveis'!$C$7:$C$56,MATCH(B17,'Imoveis'!$A$7:$A$56,0))="Próprio"),"Aluguel indevido",IF(OR(C17="",NOT(ISNUMBER(D17)),D17&lt;=0,NOT(ISNUMBER(E17)),E17&lt;0,NOT(ISNUMBER(F17)),F17&lt;=0,AND(H17&lt;&gt;"Completa",H17&lt;&gt;"Pendente")),"Incompleto",IF(AND(G17&lt;&gt;"",OR(NOT(ISNUMBER(G17)),G17&lt;=0,G17&gt;'Auxiliar'!$B$5)),"Conferir data","OK")))))))</x:f>
      </x:c>
    </x:row>
    <x:row r="18" ht="40" customHeight="1">
      <x:c r="A18" s="23"/>
      <x:c r="B18" s="23"/>
      <x:c r="C18" s="23"/>
      <x:c r="D18" s="24"/>
      <x:c r="E18" s="26"/>
      <x:c r="F18" s="13"/>
      <x:c r="G18" s="13"/>
      <x:c r="H18" s="23"/>
      <x:c r="I18" s="16" t="str">
        <x:f>IF(A18="","",IF('Auxiliar'!B8&lt;&gt;"OK","Conferir Auxiliar",IF(A18="","",IF(J18&lt;&gt;"OK","Conferir cadastro",IF(G18&lt;&gt;"",IF(AND(ISNUMBER(G18),G18&gt;0,G18&lt;='Auxiliar'!$B$5),"Pago","Conferir data"),IF(F18&lt;'Auxiliar'!$B$5,"Vencido",IF(F18='Auxiliar'!$B$5,"Vence hoje","A vencer")))))))</x:f>
      </x:c>
      <x:c r="J18" s="16" t="str">
        <x:f>IF(COUNTA(A18:H18)=0,"",IF(A18="","Informe ID",IF(COUNTIFS($A$7:$A$56,A18)&gt;1,"Duplicado",IF(COUNTIFS('Imoveis'!$A$7:$A$56,B18)&lt;&gt;1,"Sem cadastro único",IF(AND(C18="Aluguel",INDEX('Imoveis'!$C$7:$C$56,MATCH(B18,'Imoveis'!$A$7:$A$56,0))="Próprio"),"Aluguel indevido",IF(OR(C18="",NOT(ISNUMBER(D18)),D18&lt;=0,NOT(ISNUMBER(E18)),E18&lt;0,NOT(ISNUMBER(F18)),F18&lt;=0,AND(H18&lt;&gt;"Completa",H18&lt;&gt;"Pendente")),"Incompleto",IF(AND(G18&lt;&gt;"",OR(NOT(ISNUMBER(G18)),G18&lt;=0,G18&gt;'Auxiliar'!$B$5)),"Conferir data","OK")))))))</x:f>
      </x:c>
    </x:row>
    <x:row r="19" ht="40" customHeight="1">
      <x:c r="A19" s="23"/>
      <x:c r="B19" s="23"/>
      <x:c r="C19" s="23"/>
      <x:c r="D19" s="24"/>
      <x:c r="E19" s="26"/>
      <x:c r="F19" s="13"/>
      <x:c r="G19" s="13"/>
      <x:c r="H19" s="23"/>
      <x:c r="I19" s="16" t="str">
        <x:f>IF(A19="","",IF('Auxiliar'!B8&lt;&gt;"OK","Conferir Auxiliar",IF(A19="","",IF(J19&lt;&gt;"OK","Conferir cadastro",IF(G19&lt;&gt;"",IF(AND(ISNUMBER(G19),G19&gt;0,G19&lt;='Auxiliar'!$B$5),"Pago","Conferir data"),IF(F19&lt;'Auxiliar'!$B$5,"Vencido",IF(F19='Auxiliar'!$B$5,"Vence hoje","A vencer")))))))</x:f>
      </x:c>
      <x:c r="J19" s="16" t="str">
        <x:f>IF(COUNTA(A19:H19)=0,"",IF(A19="","Informe ID",IF(COUNTIFS($A$7:$A$56,A19)&gt;1,"Duplicado",IF(COUNTIFS('Imoveis'!$A$7:$A$56,B19)&lt;&gt;1,"Sem cadastro único",IF(AND(C19="Aluguel",INDEX('Imoveis'!$C$7:$C$56,MATCH(B19,'Imoveis'!$A$7:$A$56,0))="Próprio"),"Aluguel indevido",IF(OR(C19="",NOT(ISNUMBER(D19)),D19&lt;=0,NOT(ISNUMBER(E19)),E19&lt;0,NOT(ISNUMBER(F19)),F19&lt;=0,AND(H19&lt;&gt;"Completa",H19&lt;&gt;"Pendente")),"Incompleto",IF(AND(G19&lt;&gt;"",OR(NOT(ISNUMBER(G19)),G19&lt;=0,G19&gt;'Auxiliar'!$B$5)),"Conferir data","OK")))))))</x:f>
      </x:c>
    </x:row>
    <x:row r="20" ht="40" customHeight="1">
      <x:c r="A20" s="23"/>
      <x:c r="B20" s="23"/>
      <x:c r="C20" s="23"/>
      <x:c r="D20" s="24"/>
      <x:c r="E20" s="26"/>
      <x:c r="F20" s="13"/>
      <x:c r="G20" s="13"/>
      <x:c r="H20" s="23"/>
      <x:c r="I20" s="16" t="str">
        <x:f>IF(A20="","",IF('Auxiliar'!B8&lt;&gt;"OK","Conferir Auxiliar",IF(A20="","",IF(J20&lt;&gt;"OK","Conferir cadastro",IF(G20&lt;&gt;"",IF(AND(ISNUMBER(G20),G20&gt;0,G20&lt;='Auxiliar'!$B$5),"Pago","Conferir data"),IF(F20&lt;'Auxiliar'!$B$5,"Vencido",IF(F20='Auxiliar'!$B$5,"Vence hoje","A vencer")))))))</x:f>
      </x:c>
      <x:c r="J20" s="16" t="str">
        <x:f>IF(COUNTA(A20:H20)=0,"",IF(A20="","Informe ID",IF(COUNTIFS($A$7:$A$56,A20)&gt;1,"Duplicado",IF(COUNTIFS('Imoveis'!$A$7:$A$56,B20)&lt;&gt;1,"Sem cadastro único",IF(AND(C20="Aluguel",INDEX('Imoveis'!$C$7:$C$56,MATCH(B20,'Imoveis'!$A$7:$A$56,0))="Próprio"),"Aluguel indevido",IF(OR(C20="",NOT(ISNUMBER(D20)),D20&lt;=0,NOT(ISNUMBER(E20)),E20&lt;0,NOT(ISNUMBER(F20)),F20&lt;=0,AND(H20&lt;&gt;"Completa",H20&lt;&gt;"Pendente")),"Incompleto",IF(AND(G20&lt;&gt;"",OR(NOT(ISNUMBER(G20)),G20&lt;=0,G20&gt;'Auxiliar'!$B$5)),"Conferir data","OK")))))))</x:f>
      </x:c>
    </x:row>
    <x:row r="21" ht="40" customHeight="1">
      <x:c r="A21" s="23"/>
      <x:c r="B21" s="23"/>
      <x:c r="C21" s="23"/>
      <x:c r="D21" s="24"/>
      <x:c r="E21" s="26"/>
      <x:c r="F21" s="13"/>
      <x:c r="G21" s="13"/>
      <x:c r="H21" s="23"/>
      <x:c r="I21" s="16" t="str">
        <x:f>IF(A21="","",IF('Auxiliar'!B8&lt;&gt;"OK","Conferir Auxiliar",IF(A21="","",IF(J21&lt;&gt;"OK","Conferir cadastro",IF(G21&lt;&gt;"",IF(AND(ISNUMBER(G21),G21&gt;0,G21&lt;='Auxiliar'!$B$5),"Pago","Conferir data"),IF(F21&lt;'Auxiliar'!$B$5,"Vencido",IF(F21='Auxiliar'!$B$5,"Vence hoje","A vencer")))))))</x:f>
      </x:c>
      <x:c r="J21" s="16" t="str">
        <x:f>IF(COUNTA(A21:H21)=0,"",IF(A21="","Informe ID",IF(COUNTIFS($A$7:$A$56,A21)&gt;1,"Duplicado",IF(COUNTIFS('Imoveis'!$A$7:$A$56,B21)&lt;&gt;1,"Sem cadastro único",IF(AND(C21="Aluguel",INDEX('Imoveis'!$C$7:$C$56,MATCH(B21,'Imoveis'!$A$7:$A$56,0))="Próprio"),"Aluguel indevido",IF(OR(C21="",NOT(ISNUMBER(D21)),D21&lt;=0,NOT(ISNUMBER(E21)),E21&lt;0,NOT(ISNUMBER(F21)),F21&lt;=0,AND(H21&lt;&gt;"Completa",H21&lt;&gt;"Pendente")),"Incompleto",IF(AND(G21&lt;&gt;"",OR(NOT(ISNUMBER(G21)),G21&lt;=0,G21&gt;'Auxiliar'!$B$5)),"Conferir data","OK")))))))</x:f>
      </x:c>
    </x:row>
    <x:row r="22" ht="40" customHeight="1">
      <x:c r="A22" s="23"/>
      <x:c r="B22" s="23"/>
      <x:c r="C22" s="23"/>
      <x:c r="D22" s="24"/>
      <x:c r="E22" s="26"/>
      <x:c r="F22" s="13"/>
      <x:c r="G22" s="13"/>
      <x:c r="H22" s="23"/>
      <x:c r="I22" s="16" t="str">
        <x:f>IF(A22="","",IF('Auxiliar'!B8&lt;&gt;"OK","Conferir Auxiliar",IF(A22="","",IF(J22&lt;&gt;"OK","Conferir cadastro",IF(G22&lt;&gt;"",IF(AND(ISNUMBER(G22),G22&gt;0,G22&lt;='Auxiliar'!$B$5),"Pago","Conferir data"),IF(F22&lt;'Auxiliar'!$B$5,"Vencido",IF(F22='Auxiliar'!$B$5,"Vence hoje","A vencer")))))))</x:f>
      </x:c>
      <x:c r="J22" s="16" t="str">
        <x:f>IF(COUNTA(A22:H22)=0,"",IF(A22="","Informe ID",IF(COUNTIFS($A$7:$A$56,A22)&gt;1,"Duplicado",IF(COUNTIFS('Imoveis'!$A$7:$A$56,B22)&lt;&gt;1,"Sem cadastro único",IF(AND(C22="Aluguel",INDEX('Imoveis'!$C$7:$C$56,MATCH(B22,'Imoveis'!$A$7:$A$56,0))="Próprio"),"Aluguel indevido",IF(OR(C22="",NOT(ISNUMBER(D22)),D22&lt;=0,NOT(ISNUMBER(E22)),E22&lt;0,NOT(ISNUMBER(F22)),F22&lt;=0,AND(H22&lt;&gt;"Completa",H22&lt;&gt;"Pendente")),"Incompleto",IF(AND(G22&lt;&gt;"",OR(NOT(ISNUMBER(G22)),G22&lt;=0,G22&gt;'Auxiliar'!$B$5)),"Conferir data","OK")))))))</x:f>
      </x:c>
    </x:row>
    <x:row r="23" ht="40" customHeight="1">
      <x:c r="A23" s="23"/>
      <x:c r="B23" s="23"/>
      <x:c r="C23" s="23"/>
      <x:c r="D23" s="24"/>
      <x:c r="E23" s="26"/>
      <x:c r="F23" s="13"/>
      <x:c r="G23" s="13"/>
      <x:c r="H23" s="23"/>
      <x:c r="I23" s="16" t="str">
        <x:f>IF(A23="","",IF('Auxiliar'!B8&lt;&gt;"OK","Conferir Auxiliar",IF(A23="","",IF(J23&lt;&gt;"OK","Conferir cadastro",IF(G23&lt;&gt;"",IF(AND(ISNUMBER(G23),G23&gt;0,G23&lt;='Auxiliar'!$B$5),"Pago","Conferir data"),IF(F23&lt;'Auxiliar'!$B$5,"Vencido",IF(F23='Auxiliar'!$B$5,"Vence hoje","A vencer")))))))</x:f>
      </x:c>
      <x:c r="J23" s="16" t="str">
        <x:f>IF(COUNTA(A23:H23)=0,"",IF(A23="","Informe ID",IF(COUNTIFS($A$7:$A$56,A23)&gt;1,"Duplicado",IF(COUNTIFS('Imoveis'!$A$7:$A$56,B23)&lt;&gt;1,"Sem cadastro único",IF(AND(C23="Aluguel",INDEX('Imoveis'!$C$7:$C$56,MATCH(B23,'Imoveis'!$A$7:$A$56,0))="Próprio"),"Aluguel indevido",IF(OR(C23="",NOT(ISNUMBER(D23)),D23&lt;=0,NOT(ISNUMBER(E23)),E23&lt;0,NOT(ISNUMBER(F23)),F23&lt;=0,AND(H23&lt;&gt;"Completa",H23&lt;&gt;"Pendente")),"Incompleto",IF(AND(G23&lt;&gt;"",OR(NOT(ISNUMBER(G23)),G23&lt;=0,G23&gt;'Auxiliar'!$B$5)),"Conferir data","OK")))))))</x:f>
      </x:c>
    </x:row>
    <x:row r="24" ht="40" customHeight="1">
      <x:c r="A24" s="23"/>
      <x:c r="B24" s="23"/>
      <x:c r="C24" s="23"/>
      <x:c r="D24" s="24"/>
      <x:c r="E24" s="26"/>
      <x:c r="F24" s="13"/>
      <x:c r="G24" s="13"/>
      <x:c r="H24" s="23"/>
      <x:c r="I24" s="16" t="str">
        <x:f>IF(A24="","",IF('Auxiliar'!B8&lt;&gt;"OK","Conferir Auxiliar",IF(A24="","",IF(J24&lt;&gt;"OK","Conferir cadastro",IF(G24&lt;&gt;"",IF(AND(ISNUMBER(G24),G24&gt;0,G24&lt;='Auxiliar'!$B$5),"Pago","Conferir data"),IF(F24&lt;'Auxiliar'!$B$5,"Vencido",IF(F24='Auxiliar'!$B$5,"Vence hoje","A vencer")))))))</x:f>
      </x:c>
      <x:c r="J24" s="16" t="str">
        <x:f>IF(COUNTA(A24:H24)=0,"",IF(A24="","Informe ID",IF(COUNTIFS($A$7:$A$56,A24)&gt;1,"Duplicado",IF(COUNTIFS('Imoveis'!$A$7:$A$56,B24)&lt;&gt;1,"Sem cadastro único",IF(AND(C24="Aluguel",INDEX('Imoveis'!$C$7:$C$56,MATCH(B24,'Imoveis'!$A$7:$A$56,0))="Próprio"),"Aluguel indevido",IF(OR(C24="",NOT(ISNUMBER(D24)),D24&lt;=0,NOT(ISNUMBER(E24)),E24&lt;0,NOT(ISNUMBER(F24)),F24&lt;=0,AND(H24&lt;&gt;"Completa",H24&lt;&gt;"Pendente")),"Incompleto",IF(AND(G24&lt;&gt;"",OR(NOT(ISNUMBER(G24)),G24&lt;=0,G24&gt;'Auxiliar'!$B$5)),"Conferir data","OK")))))))</x:f>
      </x:c>
    </x:row>
    <x:row r="25" ht="40" customHeight="1">
      <x:c r="A25" s="23"/>
      <x:c r="B25" s="23"/>
      <x:c r="C25" s="23"/>
      <x:c r="D25" s="24"/>
      <x:c r="E25" s="26"/>
      <x:c r="F25" s="13"/>
      <x:c r="G25" s="13"/>
      <x:c r="H25" s="23"/>
      <x:c r="I25" s="16" t="str">
        <x:f>IF(A25="","",IF('Auxiliar'!B8&lt;&gt;"OK","Conferir Auxiliar",IF(A25="","",IF(J25&lt;&gt;"OK","Conferir cadastro",IF(G25&lt;&gt;"",IF(AND(ISNUMBER(G25),G25&gt;0,G25&lt;='Auxiliar'!$B$5),"Pago","Conferir data"),IF(F25&lt;'Auxiliar'!$B$5,"Vencido",IF(F25='Auxiliar'!$B$5,"Vence hoje","A vencer")))))))</x:f>
      </x:c>
      <x:c r="J25" s="16" t="str">
        <x:f>IF(COUNTA(A25:H25)=0,"",IF(A25="","Informe ID",IF(COUNTIFS($A$7:$A$56,A25)&gt;1,"Duplicado",IF(COUNTIFS('Imoveis'!$A$7:$A$56,B25)&lt;&gt;1,"Sem cadastro único",IF(AND(C25="Aluguel",INDEX('Imoveis'!$C$7:$C$56,MATCH(B25,'Imoveis'!$A$7:$A$56,0))="Próprio"),"Aluguel indevido",IF(OR(C25="",NOT(ISNUMBER(D25)),D25&lt;=0,NOT(ISNUMBER(E25)),E25&lt;0,NOT(ISNUMBER(F25)),F25&lt;=0,AND(H25&lt;&gt;"Completa",H25&lt;&gt;"Pendente")),"Incompleto",IF(AND(G25&lt;&gt;"",OR(NOT(ISNUMBER(G25)),G25&lt;=0,G25&gt;'Auxiliar'!$B$5)),"Conferir data","OK")))))))</x:f>
      </x:c>
    </x:row>
    <x:row r="26" ht="40" customHeight="1">
      <x:c r="A26" s="23"/>
      <x:c r="B26" s="23"/>
      <x:c r="C26" s="23"/>
      <x:c r="D26" s="24"/>
      <x:c r="E26" s="26"/>
      <x:c r="F26" s="13"/>
      <x:c r="G26" s="13"/>
      <x:c r="H26" s="23"/>
      <x:c r="I26" s="16" t="str">
        <x:f>IF(A26="","",IF('Auxiliar'!B8&lt;&gt;"OK","Conferir Auxiliar",IF(A26="","",IF(J26&lt;&gt;"OK","Conferir cadastro",IF(G26&lt;&gt;"",IF(AND(ISNUMBER(G26),G26&gt;0,G26&lt;='Auxiliar'!$B$5),"Pago","Conferir data"),IF(F26&lt;'Auxiliar'!$B$5,"Vencido",IF(F26='Auxiliar'!$B$5,"Vence hoje","A vencer")))))))</x:f>
      </x:c>
      <x:c r="J26" s="16" t="str">
        <x:f>IF(COUNTA(A26:H26)=0,"",IF(A26="","Informe ID",IF(COUNTIFS($A$7:$A$56,A26)&gt;1,"Duplicado",IF(COUNTIFS('Imoveis'!$A$7:$A$56,B26)&lt;&gt;1,"Sem cadastro único",IF(AND(C26="Aluguel",INDEX('Imoveis'!$C$7:$C$56,MATCH(B26,'Imoveis'!$A$7:$A$56,0))="Próprio"),"Aluguel indevido",IF(OR(C26="",NOT(ISNUMBER(D26)),D26&lt;=0,NOT(ISNUMBER(E26)),E26&lt;0,NOT(ISNUMBER(F26)),F26&lt;=0,AND(H26&lt;&gt;"Completa",H26&lt;&gt;"Pendente")),"Incompleto",IF(AND(G26&lt;&gt;"",OR(NOT(ISNUMBER(G26)),G26&lt;=0,G26&gt;'Auxiliar'!$B$5)),"Conferir data","OK")))))))</x:f>
      </x:c>
    </x:row>
    <x:row r="27" ht="40" customHeight="1">
      <x:c r="A27" s="23"/>
      <x:c r="B27" s="23"/>
      <x:c r="C27" s="23"/>
      <x:c r="D27" s="24"/>
      <x:c r="E27" s="26"/>
      <x:c r="F27" s="13"/>
      <x:c r="G27" s="13"/>
      <x:c r="H27" s="23"/>
      <x:c r="I27" s="16" t="str">
        <x:f>IF(A27="","",IF('Auxiliar'!B8&lt;&gt;"OK","Conferir Auxiliar",IF(A27="","",IF(J27&lt;&gt;"OK","Conferir cadastro",IF(G27&lt;&gt;"",IF(AND(ISNUMBER(G27),G27&gt;0,G27&lt;='Auxiliar'!$B$5),"Pago","Conferir data"),IF(F27&lt;'Auxiliar'!$B$5,"Vencido",IF(F27='Auxiliar'!$B$5,"Vence hoje","A vencer")))))))</x:f>
      </x:c>
      <x:c r="J27" s="16" t="str">
        <x:f>IF(COUNTA(A27:H27)=0,"",IF(A27="","Informe ID",IF(COUNTIFS($A$7:$A$56,A27)&gt;1,"Duplicado",IF(COUNTIFS('Imoveis'!$A$7:$A$56,B27)&lt;&gt;1,"Sem cadastro único",IF(AND(C27="Aluguel",INDEX('Imoveis'!$C$7:$C$56,MATCH(B27,'Imoveis'!$A$7:$A$56,0))="Próprio"),"Aluguel indevido",IF(OR(C27="",NOT(ISNUMBER(D27)),D27&lt;=0,NOT(ISNUMBER(E27)),E27&lt;0,NOT(ISNUMBER(F27)),F27&lt;=0,AND(H27&lt;&gt;"Completa",H27&lt;&gt;"Pendente")),"Incompleto",IF(AND(G27&lt;&gt;"",OR(NOT(ISNUMBER(G27)),G27&lt;=0,G27&gt;'Auxiliar'!$B$5)),"Conferir data","OK")))))))</x:f>
      </x:c>
    </x:row>
    <x:row r="28" ht="40" customHeight="1">
      <x:c r="A28" s="23"/>
      <x:c r="B28" s="23"/>
      <x:c r="C28" s="23"/>
      <x:c r="D28" s="24"/>
      <x:c r="E28" s="26"/>
      <x:c r="F28" s="13"/>
      <x:c r="G28" s="13"/>
      <x:c r="H28" s="23"/>
      <x:c r="I28" s="16" t="str">
        <x:f>IF(A28="","",IF('Auxiliar'!B8&lt;&gt;"OK","Conferir Auxiliar",IF(A28="","",IF(J28&lt;&gt;"OK","Conferir cadastro",IF(G28&lt;&gt;"",IF(AND(ISNUMBER(G28),G28&gt;0,G28&lt;='Auxiliar'!$B$5),"Pago","Conferir data"),IF(F28&lt;'Auxiliar'!$B$5,"Vencido",IF(F28='Auxiliar'!$B$5,"Vence hoje","A vencer")))))))</x:f>
      </x:c>
      <x:c r="J28" s="16" t="str">
        <x:f>IF(COUNTA(A28:H28)=0,"",IF(A28="","Informe ID",IF(COUNTIFS($A$7:$A$56,A28)&gt;1,"Duplicado",IF(COUNTIFS('Imoveis'!$A$7:$A$56,B28)&lt;&gt;1,"Sem cadastro único",IF(AND(C28="Aluguel",INDEX('Imoveis'!$C$7:$C$56,MATCH(B28,'Imoveis'!$A$7:$A$56,0))="Próprio"),"Aluguel indevido",IF(OR(C28="",NOT(ISNUMBER(D28)),D28&lt;=0,NOT(ISNUMBER(E28)),E28&lt;0,NOT(ISNUMBER(F28)),F28&lt;=0,AND(H28&lt;&gt;"Completa",H28&lt;&gt;"Pendente")),"Incompleto",IF(AND(G28&lt;&gt;"",OR(NOT(ISNUMBER(G28)),G28&lt;=0,G28&gt;'Auxiliar'!$B$5)),"Conferir data","OK")))))))</x:f>
      </x:c>
    </x:row>
    <x:row r="29" ht="40" customHeight="1">
      <x:c r="A29" s="23"/>
      <x:c r="B29" s="23"/>
      <x:c r="C29" s="23"/>
      <x:c r="D29" s="24"/>
      <x:c r="E29" s="26"/>
      <x:c r="F29" s="13"/>
      <x:c r="G29" s="13"/>
      <x:c r="H29" s="23"/>
      <x:c r="I29" s="16" t="str">
        <x:f>IF(A29="","",IF('Auxiliar'!B8&lt;&gt;"OK","Conferir Auxiliar",IF(A29="","",IF(J29&lt;&gt;"OK","Conferir cadastro",IF(G29&lt;&gt;"",IF(AND(ISNUMBER(G29),G29&gt;0,G29&lt;='Auxiliar'!$B$5),"Pago","Conferir data"),IF(F29&lt;'Auxiliar'!$B$5,"Vencido",IF(F29='Auxiliar'!$B$5,"Vence hoje","A vencer")))))))</x:f>
      </x:c>
      <x:c r="J29" s="16" t="str">
        <x:f>IF(COUNTA(A29:H29)=0,"",IF(A29="","Informe ID",IF(COUNTIFS($A$7:$A$56,A29)&gt;1,"Duplicado",IF(COUNTIFS('Imoveis'!$A$7:$A$56,B29)&lt;&gt;1,"Sem cadastro único",IF(AND(C29="Aluguel",INDEX('Imoveis'!$C$7:$C$56,MATCH(B29,'Imoveis'!$A$7:$A$56,0))="Próprio"),"Aluguel indevido",IF(OR(C29="",NOT(ISNUMBER(D29)),D29&lt;=0,NOT(ISNUMBER(E29)),E29&lt;0,NOT(ISNUMBER(F29)),F29&lt;=0,AND(H29&lt;&gt;"Completa",H29&lt;&gt;"Pendente")),"Incompleto",IF(AND(G29&lt;&gt;"",OR(NOT(ISNUMBER(G29)),G29&lt;=0,G29&gt;'Auxiliar'!$B$5)),"Conferir data","OK")))))))</x:f>
      </x:c>
    </x:row>
    <x:row r="30" ht="40" customHeight="1">
      <x:c r="A30" s="23"/>
      <x:c r="B30" s="23"/>
      <x:c r="C30" s="23"/>
      <x:c r="D30" s="24"/>
      <x:c r="E30" s="26"/>
      <x:c r="F30" s="13"/>
      <x:c r="G30" s="13"/>
      <x:c r="H30" s="23"/>
      <x:c r="I30" s="16" t="str">
        <x:f>IF(A30="","",IF('Auxiliar'!B8&lt;&gt;"OK","Conferir Auxiliar",IF(A30="","",IF(J30&lt;&gt;"OK","Conferir cadastro",IF(G30&lt;&gt;"",IF(AND(ISNUMBER(G30),G30&gt;0,G30&lt;='Auxiliar'!$B$5),"Pago","Conferir data"),IF(F30&lt;'Auxiliar'!$B$5,"Vencido",IF(F30='Auxiliar'!$B$5,"Vence hoje","A vencer")))))))</x:f>
      </x:c>
      <x:c r="J30" s="16" t="str">
        <x:f>IF(COUNTA(A30:H30)=0,"",IF(A30="","Informe ID",IF(COUNTIFS($A$7:$A$56,A30)&gt;1,"Duplicado",IF(COUNTIFS('Imoveis'!$A$7:$A$56,B30)&lt;&gt;1,"Sem cadastro único",IF(AND(C30="Aluguel",INDEX('Imoveis'!$C$7:$C$56,MATCH(B30,'Imoveis'!$A$7:$A$56,0))="Próprio"),"Aluguel indevido",IF(OR(C30="",NOT(ISNUMBER(D30)),D30&lt;=0,NOT(ISNUMBER(E30)),E30&lt;0,NOT(ISNUMBER(F30)),F30&lt;=0,AND(H30&lt;&gt;"Completa",H30&lt;&gt;"Pendente")),"Incompleto",IF(AND(G30&lt;&gt;"",OR(NOT(ISNUMBER(G30)),G30&lt;=0,G30&gt;'Auxiliar'!$B$5)),"Conferir data","OK")))))))</x:f>
      </x:c>
    </x:row>
    <x:row r="31" ht="40" customHeight="1">
      <x:c r="A31" s="23"/>
      <x:c r="B31" s="23"/>
      <x:c r="C31" s="23"/>
      <x:c r="D31" s="24"/>
      <x:c r="E31" s="26"/>
      <x:c r="F31" s="13"/>
      <x:c r="G31" s="13"/>
      <x:c r="H31" s="23"/>
      <x:c r="I31" s="16" t="str">
        <x:f>IF(A31="","",IF('Auxiliar'!B8&lt;&gt;"OK","Conferir Auxiliar",IF(A31="","",IF(J31&lt;&gt;"OK","Conferir cadastro",IF(G31&lt;&gt;"",IF(AND(ISNUMBER(G31),G31&gt;0,G31&lt;='Auxiliar'!$B$5),"Pago","Conferir data"),IF(F31&lt;'Auxiliar'!$B$5,"Vencido",IF(F31='Auxiliar'!$B$5,"Vence hoje","A vencer")))))))</x:f>
      </x:c>
      <x:c r="J31" s="16" t="str">
        <x:f>IF(COUNTA(A31:H31)=0,"",IF(A31="","Informe ID",IF(COUNTIFS($A$7:$A$56,A31)&gt;1,"Duplicado",IF(COUNTIFS('Imoveis'!$A$7:$A$56,B31)&lt;&gt;1,"Sem cadastro único",IF(AND(C31="Aluguel",INDEX('Imoveis'!$C$7:$C$56,MATCH(B31,'Imoveis'!$A$7:$A$56,0))="Próprio"),"Aluguel indevido",IF(OR(C31="",NOT(ISNUMBER(D31)),D31&lt;=0,NOT(ISNUMBER(E31)),E31&lt;0,NOT(ISNUMBER(F31)),F31&lt;=0,AND(H31&lt;&gt;"Completa",H31&lt;&gt;"Pendente")),"Incompleto",IF(AND(G31&lt;&gt;"",OR(NOT(ISNUMBER(G31)),G31&lt;=0,G31&gt;'Auxiliar'!$B$5)),"Conferir data","OK")))))))</x:f>
      </x:c>
    </x:row>
    <x:row r="32" ht="40" customHeight="1">
      <x:c r="A32" s="23"/>
      <x:c r="B32" s="23"/>
      <x:c r="C32" s="23"/>
      <x:c r="D32" s="24"/>
      <x:c r="E32" s="26"/>
      <x:c r="F32" s="13"/>
      <x:c r="G32" s="13"/>
      <x:c r="H32" s="23"/>
      <x:c r="I32" s="16" t="str">
        <x:f>IF(A32="","",IF('Auxiliar'!B8&lt;&gt;"OK","Conferir Auxiliar",IF(A32="","",IF(J32&lt;&gt;"OK","Conferir cadastro",IF(G32&lt;&gt;"",IF(AND(ISNUMBER(G32),G32&gt;0,G32&lt;='Auxiliar'!$B$5),"Pago","Conferir data"),IF(F32&lt;'Auxiliar'!$B$5,"Vencido",IF(F32='Auxiliar'!$B$5,"Vence hoje","A vencer")))))))</x:f>
      </x:c>
      <x:c r="J32" s="16" t="str">
        <x:f>IF(COUNTA(A32:H32)=0,"",IF(A32="","Informe ID",IF(COUNTIFS($A$7:$A$56,A32)&gt;1,"Duplicado",IF(COUNTIFS('Imoveis'!$A$7:$A$56,B32)&lt;&gt;1,"Sem cadastro único",IF(AND(C32="Aluguel",INDEX('Imoveis'!$C$7:$C$56,MATCH(B32,'Imoveis'!$A$7:$A$56,0))="Próprio"),"Aluguel indevido",IF(OR(C32="",NOT(ISNUMBER(D32)),D32&lt;=0,NOT(ISNUMBER(E32)),E32&lt;0,NOT(ISNUMBER(F32)),F32&lt;=0,AND(H32&lt;&gt;"Completa",H32&lt;&gt;"Pendente")),"Incompleto",IF(AND(G32&lt;&gt;"",OR(NOT(ISNUMBER(G32)),G32&lt;=0,G32&gt;'Auxiliar'!$B$5)),"Conferir data","OK")))))))</x:f>
      </x:c>
    </x:row>
    <x:row r="33" ht="40" customHeight="1">
      <x:c r="A33" s="23"/>
      <x:c r="B33" s="23"/>
      <x:c r="C33" s="23"/>
      <x:c r="D33" s="24"/>
      <x:c r="E33" s="26"/>
      <x:c r="F33" s="13"/>
      <x:c r="G33" s="13"/>
      <x:c r="H33" s="23"/>
      <x:c r="I33" s="16" t="str">
        <x:f>IF(A33="","",IF('Auxiliar'!B8&lt;&gt;"OK","Conferir Auxiliar",IF(A33="","",IF(J33&lt;&gt;"OK","Conferir cadastro",IF(G33&lt;&gt;"",IF(AND(ISNUMBER(G33),G33&gt;0,G33&lt;='Auxiliar'!$B$5),"Pago","Conferir data"),IF(F33&lt;'Auxiliar'!$B$5,"Vencido",IF(F33='Auxiliar'!$B$5,"Vence hoje","A vencer")))))))</x:f>
      </x:c>
      <x:c r="J33" s="16" t="str">
        <x:f>IF(COUNTA(A33:H33)=0,"",IF(A33="","Informe ID",IF(COUNTIFS($A$7:$A$56,A33)&gt;1,"Duplicado",IF(COUNTIFS('Imoveis'!$A$7:$A$56,B33)&lt;&gt;1,"Sem cadastro único",IF(AND(C33="Aluguel",INDEX('Imoveis'!$C$7:$C$56,MATCH(B33,'Imoveis'!$A$7:$A$56,0))="Próprio"),"Aluguel indevido",IF(OR(C33="",NOT(ISNUMBER(D33)),D33&lt;=0,NOT(ISNUMBER(E33)),E33&lt;0,NOT(ISNUMBER(F33)),F33&lt;=0,AND(H33&lt;&gt;"Completa",H33&lt;&gt;"Pendente")),"Incompleto",IF(AND(G33&lt;&gt;"",OR(NOT(ISNUMBER(G33)),G33&lt;=0,G33&gt;'Auxiliar'!$B$5)),"Conferir data","OK")))))))</x:f>
      </x:c>
    </x:row>
    <x:row r="34" ht="40" customHeight="1">
      <x:c r="A34" s="23"/>
      <x:c r="B34" s="23"/>
      <x:c r="C34" s="23"/>
      <x:c r="D34" s="24"/>
      <x:c r="E34" s="26"/>
      <x:c r="F34" s="13"/>
      <x:c r="G34" s="13"/>
      <x:c r="H34" s="23"/>
      <x:c r="I34" s="16" t="str">
        <x:f>IF(A34="","",IF('Auxiliar'!B8&lt;&gt;"OK","Conferir Auxiliar",IF(A34="","",IF(J34&lt;&gt;"OK","Conferir cadastro",IF(G34&lt;&gt;"",IF(AND(ISNUMBER(G34),G34&gt;0,G34&lt;='Auxiliar'!$B$5),"Pago","Conferir data"),IF(F34&lt;'Auxiliar'!$B$5,"Vencido",IF(F34='Auxiliar'!$B$5,"Vence hoje","A vencer")))))))</x:f>
      </x:c>
      <x:c r="J34" s="16" t="str">
        <x:f>IF(COUNTA(A34:H34)=0,"",IF(A34="","Informe ID",IF(COUNTIFS($A$7:$A$56,A34)&gt;1,"Duplicado",IF(COUNTIFS('Imoveis'!$A$7:$A$56,B34)&lt;&gt;1,"Sem cadastro único",IF(AND(C34="Aluguel",INDEX('Imoveis'!$C$7:$C$56,MATCH(B34,'Imoveis'!$A$7:$A$56,0))="Próprio"),"Aluguel indevido",IF(OR(C34="",NOT(ISNUMBER(D34)),D34&lt;=0,NOT(ISNUMBER(E34)),E34&lt;0,NOT(ISNUMBER(F34)),F34&lt;=0,AND(H34&lt;&gt;"Completa",H34&lt;&gt;"Pendente")),"Incompleto",IF(AND(G34&lt;&gt;"",OR(NOT(ISNUMBER(G34)),G34&lt;=0,G34&gt;'Auxiliar'!$B$5)),"Conferir data","OK")))))))</x:f>
      </x:c>
    </x:row>
    <x:row r="35" ht="40" customHeight="1">
      <x:c r="A35" s="23"/>
      <x:c r="B35" s="23"/>
      <x:c r="C35" s="23"/>
      <x:c r="D35" s="24"/>
      <x:c r="E35" s="26"/>
      <x:c r="F35" s="13"/>
      <x:c r="G35" s="13"/>
      <x:c r="H35" s="23"/>
      <x:c r="I35" s="16" t="str">
        <x:f>IF(A35="","",IF('Auxiliar'!B8&lt;&gt;"OK","Conferir Auxiliar",IF(A35="","",IF(J35&lt;&gt;"OK","Conferir cadastro",IF(G35&lt;&gt;"",IF(AND(ISNUMBER(G35),G35&gt;0,G35&lt;='Auxiliar'!$B$5),"Pago","Conferir data"),IF(F35&lt;'Auxiliar'!$B$5,"Vencido",IF(F35='Auxiliar'!$B$5,"Vence hoje","A vencer")))))))</x:f>
      </x:c>
      <x:c r="J35" s="16" t="str">
        <x:f>IF(COUNTA(A35:H35)=0,"",IF(A35="","Informe ID",IF(COUNTIFS($A$7:$A$56,A35)&gt;1,"Duplicado",IF(COUNTIFS('Imoveis'!$A$7:$A$56,B35)&lt;&gt;1,"Sem cadastro único",IF(AND(C35="Aluguel",INDEX('Imoveis'!$C$7:$C$56,MATCH(B35,'Imoveis'!$A$7:$A$56,0))="Próprio"),"Aluguel indevido",IF(OR(C35="",NOT(ISNUMBER(D35)),D35&lt;=0,NOT(ISNUMBER(E35)),E35&lt;0,NOT(ISNUMBER(F35)),F35&lt;=0,AND(H35&lt;&gt;"Completa",H35&lt;&gt;"Pendente")),"Incompleto",IF(AND(G35&lt;&gt;"",OR(NOT(ISNUMBER(G35)),G35&lt;=0,G35&gt;'Auxiliar'!$B$5)),"Conferir data","OK")))))))</x:f>
      </x:c>
    </x:row>
    <x:row r="36" ht="40" customHeight="1">
      <x:c r="A36" s="23"/>
      <x:c r="B36" s="23"/>
      <x:c r="C36" s="23"/>
      <x:c r="D36" s="24"/>
      <x:c r="E36" s="26"/>
      <x:c r="F36" s="13"/>
      <x:c r="G36" s="13"/>
      <x:c r="H36" s="23"/>
      <x:c r="I36" s="16" t="str">
        <x:f>IF(A36="","",IF('Auxiliar'!B8&lt;&gt;"OK","Conferir Auxiliar",IF(A36="","",IF(J36&lt;&gt;"OK","Conferir cadastro",IF(G36&lt;&gt;"",IF(AND(ISNUMBER(G36),G36&gt;0,G36&lt;='Auxiliar'!$B$5),"Pago","Conferir data"),IF(F36&lt;'Auxiliar'!$B$5,"Vencido",IF(F36='Auxiliar'!$B$5,"Vence hoje","A vencer")))))))</x:f>
      </x:c>
      <x:c r="J36" s="16" t="str">
        <x:f>IF(COUNTA(A36:H36)=0,"",IF(A36="","Informe ID",IF(COUNTIFS($A$7:$A$56,A36)&gt;1,"Duplicado",IF(COUNTIFS('Imoveis'!$A$7:$A$56,B36)&lt;&gt;1,"Sem cadastro único",IF(AND(C36="Aluguel",INDEX('Imoveis'!$C$7:$C$56,MATCH(B36,'Imoveis'!$A$7:$A$56,0))="Próprio"),"Aluguel indevido",IF(OR(C36="",NOT(ISNUMBER(D36)),D36&lt;=0,NOT(ISNUMBER(E36)),E36&lt;0,NOT(ISNUMBER(F36)),F36&lt;=0,AND(H36&lt;&gt;"Completa",H36&lt;&gt;"Pendente")),"Incompleto",IF(AND(G36&lt;&gt;"",OR(NOT(ISNUMBER(G36)),G36&lt;=0,G36&gt;'Auxiliar'!$B$5)),"Conferir data","OK")))))))</x:f>
      </x:c>
    </x:row>
    <x:row r="37" ht="40" customHeight="1">
      <x:c r="A37" s="23"/>
      <x:c r="B37" s="23"/>
      <x:c r="C37" s="23"/>
      <x:c r="D37" s="24"/>
      <x:c r="E37" s="26"/>
      <x:c r="F37" s="13"/>
      <x:c r="G37" s="13"/>
      <x:c r="H37" s="23"/>
      <x:c r="I37" s="16" t="str">
        <x:f>IF(A37="","",IF('Auxiliar'!B8&lt;&gt;"OK","Conferir Auxiliar",IF(A37="","",IF(J37&lt;&gt;"OK","Conferir cadastro",IF(G37&lt;&gt;"",IF(AND(ISNUMBER(G37),G37&gt;0,G37&lt;='Auxiliar'!$B$5),"Pago","Conferir data"),IF(F37&lt;'Auxiliar'!$B$5,"Vencido",IF(F37='Auxiliar'!$B$5,"Vence hoje","A vencer")))))))</x:f>
      </x:c>
      <x:c r="J37" s="16" t="str">
        <x:f>IF(COUNTA(A37:H37)=0,"",IF(A37="","Informe ID",IF(COUNTIFS($A$7:$A$56,A37)&gt;1,"Duplicado",IF(COUNTIFS('Imoveis'!$A$7:$A$56,B37)&lt;&gt;1,"Sem cadastro único",IF(AND(C37="Aluguel",INDEX('Imoveis'!$C$7:$C$56,MATCH(B37,'Imoveis'!$A$7:$A$56,0))="Próprio"),"Aluguel indevido",IF(OR(C37="",NOT(ISNUMBER(D37)),D37&lt;=0,NOT(ISNUMBER(E37)),E37&lt;0,NOT(ISNUMBER(F37)),F37&lt;=0,AND(H37&lt;&gt;"Completa",H37&lt;&gt;"Pendente")),"Incompleto",IF(AND(G37&lt;&gt;"",OR(NOT(ISNUMBER(G37)),G37&lt;=0,G37&gt;'Auxiliar'!$B$5)),"Conferir data","OK")))))))</x:f>
      </x:c>
    </x:row>
    <x:row r="38" ht="40" customHeight="1">
      <x:c r="A38" s="23"/>
      <x:c r="B38" s="23"/>
      <x:c r="C38" s="23"/>
      <x:c r="D38" s="24"/>
      <x:c r="E38" s="26"/>
      <x:c r="F38" s="13"/>
      <x:c r="G38" s="13"/>
      <x:c r="H38" s="23"/>
      <x:c r="I38" s="16" t="str">
        <x:f>IF(A38="","",IF('Auxiliar'!B8&lt;&gt;"OK","Conferir Auxiliar",IF(A38="","",IF(J38&lt;&gt;"OK","Conferir cadastro",IF(G38&lt;&gt;"",IF(AND(ISNUMBER(G38),G38&gt;0,G38&lt;='Auxiliar'!$B$5),"Pago","Conferir data"),IF(F38&lt;'Auxiliar'!$B$5,"Vencido",IF(F38='Auxiliar'!$B$5,"Vence hoje","A vencer")))))))</x:f>
      </x:c>
      <x:c r="J38" s="16" t="str">
        <x:f>IF(COUNTA(A38:H38)=0,"",IF(A38="","Informe ID",IF(COUNTIFS($A$7:$A$56,A38)&gt;1,"Duplicado",IF(COUNTIFS('Imoveis'!$A$7:$A$56,B38)&lt;&gt;1,"Sem cadastro único",IF(AND(C38="Aluguel",INDEX('Imoveis'!$C$7:$C$56,MATCH(B38,'Imoveis'!$A$7:$A$56,0))="Próprio"),"Aluguel indevido",IF(OR(C38="",NOT(ISNUMBER(D38)),D38&lt;=0,NOT(ISNUMBER(E38)),E38&lt;0,NOT(ISNUMBER(F38)),F38&lt;=0,AND(H38&lt;&gt;"Completa",H38&lt;&gt;"Pendente")),"Incompleto",IF(AND(G38&lt;&gt;"",OR(NOT(ISNUMBER(G38)),G38&lt;=0,G38&gt;'Auxiliar'!$B$5)),"Conferir data","OK")))))))</x:f>
      </x:c>
    </x:row>
    <x:row r="39" ht="40" customHeight="1">
      <x:c r="A39" s="23"/>
      <x:c r="B39" s="23"/>
      <x:c r="C39" s="23"/>
      <x:c r="D39" s="24"/>
      <x:c r="E39" s="26"/>
      <x:c r="F39" s="13"/>
      <x:c r="G39" s="13"/>
      <x:c r="H39" s="23"/>
      <x:c r="I39" s="16" t="str">
        <x:f>IF(A39="","",IF('Auxiliar'!B8&lt;&gt;"OK","Conferir Auxiliar",IF(A39="","",IF(J39&lt;&gt;"OK","Conferir cadastro",IF(G39&lt;&gt;"",IF(AND(ISNUMBER(G39),G39&gt;0,G39&lt;='Auxiliar'!$B$5),"Pago","Conferir data"),IF(F39&lt;'Auxiliar'!$B$5,"Vencido",IF(F39='Auxiliar'!$B$5,"Vence hoje","A vencer")))))))</x:f>
      </x:c>
      <x:c r="J39" s="16" t="str">
        <x:f>IF(COUNTA(A39:H39)=0,"",IF(A39="","Informe ID",IF(COUNTIFS($A$7:$A$56,A39)&gt;1,"Duplicado",IF(COUNTIFS('Imoveis'!$A$7:$A$56,B39)&lt;&gt;1,"Sem cadastro único",IF(AND(C39="Aluguel",INDEX('Imoveis'!$C$7:$C$56,MATCH(B39,'Imoveis'!$A$7:$A$56,0))="Próprio"),"Aluguel indevido",IF(OR(C39="",NOT(ISNUMBER(D39)),D39&lt;=0,NOT(ISNUMBER(E39)),E39&lt;0,NOT(ISNUMBER(F39)),F39&lt;=0,AND(H39&lt;&gt;"Completa",H39&lt;&gt;"Pendente")),"Incompleto",IF(AND(G39&lt;&gt;"",OR(NOT(ISNUMBER(G39)),G39&lt;=0,G39&gt;'Auxiliar'!$B$5)),"Conferir data","OK")))))))</x:f>
      </x:c>
    </x:row>
    <x:row r="40" ht="40" customHeight="1">
      <x:c r="A40" s="23"/>
      <x:c r="B40" s="23"/>
      <x:c r="C40" s="23"/>
      <x:c r="D40" s="24"/>
      <x:c r="E40" s="26"/>
      <x:c r="F40" s="13"/>
      <x:c r="G40" s="13"/>
      <x:c r="H40" s="23"/>
      <x:c r="I40" s="16" t="str">
        <x:f>IF(A40="","",IF('Auxiliar'!B8&lt;&gt;"OK","Conferir Auxiliar",IF(A40="","",IF(J40&lt;&gt;"OK","Conferir cadastro",IF(G40&lt;&gt;"",IF(AND(ISNUMBER(G40),G40&gt;0,G40&lt;='Auxiliar'!$B$5),"Pago","Conferir data"),IF(F40&lt;'Auxiliar'!$B$5,"Vencido",IF(F40='Auxiliar'!$B$5,"Vence hoje","A vencer")))))))</x:f>
      </x:c>
      <x:c r="J40" s="16" t="str">
        <x:f>IF(COUNTA(A40:H40)=0,"",IF(A40="","Informe ID",IF(COUNTIFS($A$7:$A$56,A40)&gt;1,"Duplicado",IF(COUNTIFS('Imoveis'!$A$7:$A$56,B40)&lt;&gt;1,"Sem cadastro único",IF(AND(C40="Aluguel",INDEX('Imoveis'!$C$7:$C$56,MATCH(B40,'Imoveis'!$A$7:$A$56,0))="Próprio"),"Aluguel indevido",IF(OR(C40="",NOT(ISNUMBER(D40)),D40&lt;=0,NOT(ISNUMBER(E40)),E40&lt;0,NOT(ISNUMBER(F40)),F40&lt;=0,AND(H40&lt;&gt;"Completa",H40&lt;&gt;"Pendente")),"Incompleto",IF(AND(G40&lt;&gt;"",OR(NOT(ISNUMBER(G40)),G40&lt;=0,G40&gt;'Auxiliar'!$B$5)),"Conferir data","OK")))))))</x:f>
      </x:c>
    </x:row>
    <x:row r="41" ht="40" customHeight="1">
      <x:c r="A41" s="23"/>
      <x:c r="B41" s="23"/>
      <x:c r="C41" s="23"/>
      <x:c r="D41" s="24"/>
      <x:c r="E41" s="26"/>
      <x:c r="F41" s="13"/>
      <x:c r="G41" s="13"/>
      <x:c r="H41" s="23"/>
      <x:c r="I41" s="16" t="str">
        <x:f>IF(A41="","",IF('Auxiliar'!B8&lt;&gt;"OK","Conferir Auxiliar",IF(A41="","",IF(J41&lt;&gt;"OK","Conferir cadastro",IF(G41&lt;&gt;"",IF(AND(ISNUMBER(G41),G41&gt;0,G41&lt;='Auxiliar'!$B$5),"Pago","Conferir data"),IF(F41&lt;'Auxiliar'!$B$5,"Vencido",IF(F41='Auxiliar'!$B$5,"Vence hoje","A vencer")))))))</x:f>
      </x:c>
      <x:c r="J41" s="16" t="str">
        <x:f>IF(COUNTA(A41:H41)=0,"",IF(A41="","Informe ID",IF(COUNTIFS($A$7:$A$56,A41)&gt;1,"Duplicado",IF(COUNTIFS('Imoveis'!$A$7:$A$56,B41)&lt;&gt;1,"Sem cadastro único",IF(AND(C41="Aluguel",INDEX('Imoveis'!$C$7:$C$56,MATCH(B41,'Imoveis'!$A$7:$A$56,0))="Próprio"),"Aluguel indevido",IF(OR(C41="",NOT(ISNUMBER(D41)),D41&lt;=0,NOT(ISNUMBER(E41)),E41&lt;0,NOT(ISNUMBER(F41)),F41&lt;=0,AND(H41&lt;&gt;"Completa",H41&lt;&gt;"Pendente")),"Incompleto",IF(AND(G41&lt;&gt;"",OR(NOT(ISNUMBER(G41)),G41&lt;=0,G41&gt;'Auxiliar'!$B$5)),"Conferir data","OK")))))))</x:f>
      </x:c>
    </x:row>
    <x:row r="42" ht="40" customHeight="1">
      <x:c r="A42" s="23"/>
      <x:c r="B42" s="23"/>
      <x:c r="C42" s="23"/>
      <x:c r="D42" s="24"/>
      <x:c r="E42" s="26"/>
      <x:c r="F42" s="13"/>
      <x:c r="G42" s="13"/>
      <x:c r="H42" s="23"/>
      <x:c r="I42" s="16" t="str">
        <x:f>IF(A42="","",IF('Auxiliar'!B8&lt;&gt;"OK","Conferir Auxiliar",IF(A42="","",IF(J42&lt;&gt;"OK","Conferir cadastro",IF(G42&lt;&gt;"",IF(AND(ISNUMBER(G42),G42&gt;0,G42&lt;='Auxiliar'!$B$5),"Pago","Conferir data"),IF(F42&lt;'Auxiliar'!$B$5,"Vencido",IF(F42='Auxiliar'!$B$5,"Vence hoje","A vencer")))))))</x:f>
      </x:c>
      <x:c r="J42" s="16" t="str">
        <x:f>IF(COUNTA(A42:H42)=0,"",IF(A42="","Informe ID",IF(COUNTIFS($A$7:$A$56,A42)&gt;1,"Duplicado",IF(COUNTIFS('Imoveis'!$A$7:$A$56,B42)&lt;&gt;1,"Sem cadastro único",IF(AND(C42="Aluguel",INDEX('Imoveis'!$C$7:$C$56,MATCH(B42,'Imoveis'!$A$7:$A$56,0))="Próprio"),"Aluguel indevido",IF(OR(C42="",NOT(ISNUMBER(D42)),D42&lt;=0,NOT(ISNUMBER(E42)),E42&lt;0,NOT(ISNUMBER(F42)),F42&lt;=0,AND(H42&lt;&gt;"Completa",H42&lt;&gt;"Pendente")),"Incompleto",IF(AND(G42&lt;&gt;"",OR(NOT(ISNUMBER(G42)),G42&lt;=0,G42&gt;'Auxiliar'!$B$5)),"Conferir data","OK")))))))</x:f>
      </x:c>
    </x:row>
    <x:row r="43" ht="40" customHeight="1">
      <x:c r="A43" s="23"/>
      <x:c r="B43" s="23"/>
      <x:c r="C43" s="23"/>
      <x:c r="D43" s="24"/>
      <x:c r="E43" s="26"/>
      <x:c r="F43" s="13"/>
      <x:c r="G43" s="13"/>
      <x:c r="H43" s="23"/>
      <x:c r="I43" s="16" t="str">
        <x:f>IF(A43="","",IF('Auxiliar'!B8&lt;&gt;"OK","Conferir Auxiliar",IF(A43="","",IF(J43&lt;&gt;"OK","Conferir cadastro",IF(G43&lt;&gt;"",IF(AND(ISNUMBER(G43),G43&gt;0,G43&lt;='Auxiliar'!$B$5),"Pago","Conferir data"),IF(F43&lt;'Auxiliar'!$B$5,"Vencido",IF(F43='Auxiliar'!$B$5,"Vence hoje","A vencer")))))))</x:f>
      </x:c>
      <x:c r="J43" s="16" t="str">
        <x:f>IF(COUNTA(A43:H43)=0,"",IF(A43="","Informe ID",IF(COUNTIFS($A$7:$A$56,A43)&gt;1,"Duplicado",IF(COUNTIFS('Imoveis'!$A$7:$A$56,B43)&lt;&gt;1,"Sem cadastro único",IF(AND(C43="Aluguel",INDEX('Imoveis'!$C$7:$C$56,MATCH(B43,'Imoveis'!$A$7:$A$56,0))="Próprio"),"Aluguel indevido",IF(OR(C43="",NOT(ISNUMBER(D43)),D43&lt;=0,NOT(ISNUMBER(E43)),E43&lt;0,NOT(ISNUMBER(F43)),F43&lt;=0,AND(H43&lt;&gt;"Completa",H43&lt;&gt;"Pendente")),"Incompleto",IF(AND(G43&lt;&gt;"",OR(NOT(ISNUMBER(G43)),G43&lt;=0,G43&gt;'Auxiliar'!$B$5)),"Conferir data","OK")))))))</x:f>
      </x:c>
    </x:row>
    <x:row r="44" ht="40" customHeight="1">
      <x:c r="A44" s="23"/>
      <x:c r="B44" s="23"/>
      <x:c r="C44" s="23"/>
      <x:c r="D44" s="24"/>
      <x:c r="E44" s="26"/>
      <x:c r="F44" s="13"/>
      <x:c r="G44" s="13"/>
      <x:c r="H44" s="23"/>
      <x:c r="I44" s="16" t="str">
        <x:f>IF(A44="","",IF('Auxiliar'!B8&lt;&gt;"OK","Conferir Auxiliar",IF(A44="","",IF(J44&lt;&gt;"OK","Conferir cadastro",IF(G44&lt;&gt;"",IF(AND(ISNUMBER(G44),G44&gt;0,G44&lt;='Auxiliar'!$B$5),"Pago","Conferir data"),IF(F44&lt;'Auxiliar'!$B$5,"Vencido",IF(F44='Auxiliar'!$B$5,"Vence hoje","A vencer")))))))</x:f>
      </x:c>
      <x:c r="J44" s="16" t="str">
        <x:f>IF(COUNTA(A44:H44)=0,"",IF(A44="","Informe ID",IF(COUNTIFS($A$7:$A$56,A44)&gt;1,"Duplicado",IF(COUNTIFS('Imoveis'!$A$7:$A$56,B44)&lt;&gt;1,"Sem cadastro único",IF(AND(C44="Aluguel",INDEX('Imoveis'!$C$7:$C$56,MATCH(B44,'Imoveis'!$A$7:$A$56,0))="Próprio"),"Aluguel indevido",IF(OR(C44="",NOT(ISNUMBER(D44)),D44&lt;=0,NOT(ISNUMBER(E44)),E44&lt;0,NOT(ISNUMBER(F44)),F44&lt;=0,AND(H44&lt;&gt;"Completa",H44&lt;&gt;"Pendente")),"Incompleto",IF(AND(G44&lt;&gt;"",OR(NOT(ISNUMBER(G44)),G44&lt;=0,G44&gt;'Auxiliar'!$B$5)),"Conferir data","OK")))))))</x:f>
      </x:c>
    </x:row>
    <x:row r="45" ht="40" customHeight="1">
      <x:c r="A45" s="23"/>
      <x:c r="B45" s="23"/>
      <x:c r="C45" s="23"/>
      <x:c r="D45" s="24"/>
      <x:c r="E45" s="26"/>
      <x:c r="F45" s="13"/>
      <x:c r="G45" s="13"/>
      <x:c r="H45" s="23"/>
      <x:c r="I45" s="16" t="str">
        <x:f>IF(A45="","",IF('Auxiliar'!B8&lt;&gt;"OK","Conferir Auxiliar",IF(A45="","",IF(J45&lt;&gt;"OK","Conferir cadastro",IF(G45&lt;&gt;"",IF(AND(ISNUMBER(G45),G45&gt;0,G45&lt;='Auxiliar'!$B$5),"Pago","Conferir data"),IF(F45&lt;'Auxiliar'!$B$5,"Vencido",IF(F45='Auxiliar'!$B$5,"Vence hoje","A vencer")))))))</x:f>
      </x:c>
      <x:c r="J45" s="16" t="str">
        <x:f>IF(COUNTA(A45:H45)=0,"",IF(A45="","Informe ID",IF(COUNTIFS($A$7:$A$56,A45)&gt;1,"Duplicado",IF(COUNTIFS('Imoveis'!$A$7:$A$56,B45)&lt;&gt;1,"Sem cadastro único",IF(AND(C45="Aluguel",INDEX('Imoveis'!$C$7:$C$56,MATCH(B45,'Imoveis'!$A$7:$A$56,0))="Próprio"),"Aluguel indevido",IF(OR(C45="",NOT(ISNUMBER(D45)),D45&lt;=0,NOT(ISNUMBER(E45)),E45&lt;0,NOT(ISNUMBER(F45)),F45&lt;=0,AND(H45&lt;&gt;"Completa",H45&lt;&gt;"Pendente")),"Incompleto",IF(AND(G45&lt;&gt;"",OR(NOT(ISNUMBER(G45)),G45&lt;=0,G45&gt;'Auxiliar'!$B$5)),"Conferir data","OK")))))))</x:f>
      </x:c>
    </x:row>
    <x:row r="46" ht="40" customHeight="1">
      <x:c r="A46" s="23"/>
      <x:c r="B46" s="23"/>
      <x:c r="C46" s="23"/>
      <x:c r="D46" s="24"/>
      <x:c r="E46" s="26"/>
      <x:c r="F46" s="13"/>
      <x:c r="G46" s="13"/>
      <x:c r="H46" s="23"/>
      <x:c r="I46" s="16" t="str">
        <x:f>IF(A46="","",IF('Auxiliar'!B8&lt;&gt;"OK","Conferir Auxiliar",IF(A46="","",IF(J46&lt;&gt;"OK","Conferir cadastro",IF(G46&lt;&gt;"",IF(AND(ISNUMBER(G46),G46&gt;0,G46&lt;='Auxiliar'!$B$5),"Pago","Conferir data"),IF(F46&lt;'Auxiliar'!$B$5,"Vencido",IF(F46='Auxiliar'!$B$5,"Vence hoje","A vencer")))))))</x:f>
      </x:c>
      <x:c r="J46" s="16" t="str">
        <x:f>IF(COUNTA(A46:H46)=0,"",IF(A46="","Informe ID",IF(COUNTIFS($A$7:$A$56,A46)&gt;1,"Duplicado",IF(COUNTIFS('Imoveis'!$A$7:$A$56,B46)&lt;&gt;1,"Sem cadastro único",IF(AND(C46="Aluguel",INDEX('Imoveis'!$C$7:$C$56,MATCH(B46,'Imoveis'!$A$7:$A$56,0))="Próprio"),"Aluguel indevido",IF(OR(C46="",NOT(ISNUMBER(D46)),D46&lt;=0,NOT(ISNUMBER(E46)),E46&lt;0,NOT(ISNUMBER(F46)),F46&lt;=0,AND(H46&lt;&gt;"Completa",H46&lt;&gt;"Pendente")),"Incompleto",IF(AND(G46&lt;&gt;"",OR(NOT(ISNUMBER(G46)),G46&lt;=0,G46&gt;'Auxiliar'!$B$5)),"Conferir data","OK")))))))</x:f>
      </x:c>
    </x:row>
    <x:row r="47" ht="40" customHeight="1">
      <x:c r="A47" s="23"/>
      <x:c r="B47" s="23"/>
      <x:c r="C47" s="23"/>
      <x:c r="D47" s="24"/>
      <x:c r="E47" s="26"/>
      <x:c r="F47" s="13"/>
      <x:c r="G47" s="13"/>
      <x:c r="H47" s="23"/>
      <x:c r="I47" s="16" t="str">
        <x:f>IF(A47="","",IF('Auxiliar'!B8&lt;&gt;"OK","Conferir Auxiliar",IF(A47="","",IF(J47&lt;&gt;"OK","Conferir cadastro",IF(G47&lt;&gt;"",IF(AND(ISNUMBER(G47),G47&gt;0,G47&lt;='Auxiliar'!$B$5),"Pago","Conferir data"),IF(F47&lt;'Auxiliar'!$B$5,"Vencido",IF(F47='Auxiliar'!$B$5,"Vence hoje","A vencer")))))))</x:f>
      </x:c>
      <x:c r="J47" s="16" t="str">
        <x:f>IF(COUNTA(A47:H47)=0,"",IF(A47="","Informe ID",IF(COUNTIFS($A$7:$A$56,A47)&gt;1,"Duplicado",IF(COUNTIFS('Imoveis'!$A$7:$A$56,B47)&lt;&gt;1,"Sem cadastro único",IF(AND(C47="Aluguel",INDEX('Imoveis'!$C$7:$C$56,MATCH(B47,'Imoveis'!$A$7:$A$56,0))="Próprio"),"Aluguel indevido",IF(OR(C47="",NOT(ISNUMBER(D47)),D47&lt;=0,NOT(ISNUMBER(E47)),E47&lt;0,NOT(ISNUMBER(F47)),F47&lt;=0,AND(H47&lt;&gt;"Completa",H47&lt;&gt;"Pendente")),"Incompleto",IF(AND(G47&lt;&gt;"",OR(NOT(ISNUMBER(G47)),G47&lt;=0,G47&gt;'Auxiliar'!$B$5)),"Conferir data","OK")))))))</x:f>
      </x:c>
    </x:row>
    <x:row r="48" ht="40" customHeight="1">
      <x:c r="A48" s="23"/>
      <x:c r="B48" s="23"/>
      <x:c r="C48" s="23"/>
      <x:c r="D48" s="24"/>
      <x:c r="E48" s="26"/>
      <x:c r="F48" s="13"/>
      <x:c r="G48" s="13"/>
      <x:c r="H48" s="23"/>
      <x:c r="I48" s="16" t="str">
        <x:f>IF(A48="","",IF('Auxiliar'!B8&lt;&gt;"OK","Conferir Auxiliar",IF(A48="","",IF(J48&lt;&gt;"OK","Conferir cadastro",IF(G48&lt;&gt;"",IF(AND(ISNUMBER(G48),G48&gt;0,G48&lt;='Auxiliar'!$B$5),"Pago","Conferir data"),IF(F48&lt;'Auxiliar'!$B$5,"Vencido",IF(F48='Auxiliar'!$B$5,"Vence hoje","A vencer")))))))</x:f>
      </x:c>
      <x:c r="J48" s="16" t="str">
        <x:f>IF(COUNTA(A48:H48)=0,"",IF(A48="","Informe ID",IF(COUNTIFS($A$7:$A$56,A48)&gt;1,"Duplicado",IF(COUNTIFS('Imoveis'!$A$7:$A$56,B48)&lt;&gt;1,"Sem cadastro único",IF(AND(C48="Aluguel",INDEX('Imoveis'!$C$7:$C$56,MATCH(B48,'Imoveis'!$A$7:$A$56,0))="Próprio"),"Aluguel indevido",IF(OR(C48="",NOT(ISNUMBER(D48)),D48&lt;=0,NOT(ISNUMBER(E48)),E48&lt;0,NOT(ISNUMBER(F48)),F48&lt;=0,AND(H48&lt;&gt;"Completa",H48&lt;&gt;"Pendente")),"Incompleto",IF(AND(G48&lt;&gt;"",OR(NOT(ISNUMBER(G48)),G48&lt;=0,G48&gt;'Auxiliar'!$B$5)),"Conferir data","OK")))))))</x:f>
      </x:c>
    </x:row>
    <x:row r="49" ht="40" customHeight="1">
      <x:c r="A49" s="23"/>
      <x:c r="B49" s="23"/>
      <x:c r="C49" s="23"/>
      <x:c r="D49" s="24"/>
      <x:c r="E49" s="26"/>
      <x:c r="F49" s="13"/>
      <x:c r="G49" s="13"/>
      <x:c r="H49" s="23"/>
      <x:c r="I49" s="16" t="str">
        <x:f>IF(A49="","",IF('Auxiliar'!B8&lt;&gt;"OK","Conferir Auxiliar",IF(A49="","",IF(J49&lt;&gt;"OK","Conferir cadastro",IF(G49&lt;&gt;"",IF(AND(ISNUMBER(G49),G49&gt;0,G49&lt;='Auxiliar'!$B$5),"Pago","Conferir data"),IF(F49&lt;'Auxiliar'!$B$5,"Vencido",IF(F49='Auxiliar'!$B$5,"Vence hoje","A vencer")))))))</x:f>
      </x:c>
      <x:c r="J49" s="16" t="str">
        <x:f>IF(COUNTA(A49:H49)=0,"",IF(A49="","Informe ID",IF(COUNTIFS($A$7:$A$56,A49)&gt;1,"Duplicado",IF(COUNTIFS('Imoveis'!$A$7:$A$56,B49)&lt;&gt;1,"Sem cadastro único",IF(AND(C49="Aluguel",INDEX('Imoveis'!$C$7:$C$56,MATCH(B49,'Imoveis'!$A$7:$A$56,0))="Próprio"),"Aluguel indevido",IF(OR(C49="",NOT(ISNUMBER(D49)),D49&lt;=0,NOT(ISNUMBER(E49)),E49&lt;0,NOT(ISNUMBER(F49)),F49&lt;=0,AND(H49&lt;&gt;"Completa",H49&lt;&gt;"Pendente")),"Incompleto",IF(AND(G49&lt;&gt;"",OR(NOT(ISNUMBER(G49)),G49&lt;=0,G49&gt;'Auxiliar'!$B$5)),"Conferir data","OK")))))))</x:f>
      </x:c>
    </x:row>
    <x:row r="50" ht="40" customHeight="1">
      <x:c r="A50" s="23"/>
      <x:c r="B50" s="23"/>
      <x:c r="C50" s="23"/>
      <x:c r="D50" s="24"/>
      <x:c r="E50" s="26"/>
      <x:c r="F50" s="13"/>
      <x:c r="G50" s="13"/>
      <x:c r="H50" s="23"/>
      <x:c r="I50" s="16" t="str">
        <x:f>IF(A50="","",IF('Auxiliar'!B8&lt;&gt;"OK","Conferir Auxiliar",IF(A50="","",IF(J50&lt;&gt;"OK","Conferir cadastro",IF(G50&lt;&gt;"",IF(AND(ISNUMBER(G50),G50&gt;0,G50&lt;='Auxiliar'!$B$5),"Pago","Conferir data"),IF(F50&lt;'Auxiliar'!$B$5,"Vencido",IF(F50='Auxiliar'!$B$5,"Vence hoje","A vencer")))))))</x:f>
      </x:c>
      <x:c r="J50" s="16" t="str">
        <x:f>IF(COUNTA(A50:H50)=0,"",IF(A50="","Informe ID",IF(COUNTIFS($A$7:$A$56,A50)&gt;1,"Duplicado",IF(COUNTIFS('Imoveis'!$A$7:$A$56,B50)&lt;&gt;1,"Sem cadastro único",IF(AND(C50="Aluguel",INDEX('Imoveis'!$C$7:$C$56,MATCH(B50,'Imoveis'!$A$7:$A$56,0))="Próprio"),"Aluguel indevido",IF(OR(C50="",NOT(ISNUMBER(D50)),D50&lt;=0,NOT(ISNUMBER(E50)),E50&lt;0,NOT(ISNUMBER(F50)),F50&lt;=0,AND(H50&lt;&gt;"Completa",H50&lt;&gt;"Pendente")),"Incompleto",IF(AND(G50&lt;&gt;"",OR(NOT(ISNUMBER(G50)),G50&lt;=0,G50&gt;'Auxiliar'!$B$5)),"Conferir data","OK")))))))</x:f>
      </x:c>
    </x:row>
    <x:row r="51" ht="40" customHeight="1">
      <x:c r="A51" s="23"/>
      <x:c r="B51" s="23"/>
      <x:c r="C51" s="23"/>
      <x:c r="D51" s="24"/>
      <x:c r="E51" s="26"/>
      <x:c r="F51" s="13"/>
      <x:c r="G51" s="13"/>
      <x:c r="H51" s="23"/>
      <x:c r="I51" s="16" t="str">
        <x:f>IF(A51="","",IF('Auxiliar'!B8&lt;&gt;"OK","Conferir Auxiliar",IF(A51="","",IF(J51&lt;&gt;"OK","Conferir cadastro",IF(G51&lt;&gt;"",IF(AND(ISNUMBER(G51),G51&gt;0,G51&lt;='Auxiliar'!$B$5),"Pago","Conferir data"),IF(F51&lt;'Auxiliar'!$B$5,"Vencido",IF(F51='Auxiliar'!$B$5,"Vence hoje","A vencer")))))))</x:f>
      </x:c>
      <x:c r="J51" s="16" t="str">
        <x:f>IF(COUNTA(A51:H51)=0,"",IF(A51="","Informe ID",IF(COUNTIFS($A$7:$A$56,A51)&gt;1,"Duplicado",IF(COUNTIFS('Imoveis'!$A$7:$A$56,B51)&lt;&gt;1,"Sem cadastro único",IF(AND(C51="Aluguel",INDEX('Imoveis'!$C$7:$C$56,MATCH(B51,'Imoveis'!$A$7:$A$56,0))="Próprio"),"Aluguel indevido",IF(OR(C51="",NOT(ISNUMBER(D51)),D51&lt;=0,NOT(ISNUMBER(E51)),E51&lt;0,NOT(ISNUMBER(F51)),F51&lt;=0,AND(H51&lt;&gt;"Completa",H51&lt;&gt;"Pendente")),"Incompleto",IF(AND(G51&lt;&gt;"",OR(NOT(ISNUMBER(G51)),G51&lt;=0,G51&gt;'Auxiliar'!$B$5)),"Conferir data","OK")))))))</x:f>
      </x:c>
    </x:row>
    <x:row r="52" ht="40" customHeight="1">
      <x:c r="A52" s="23"/>
      <x:c r="B52" s="23"/>
      <x:c r="C52" s="23"/>
      <x:c r="D52" s="24"/>
      <x:c r="E52" s="26"/>
      <x:c r="F52" s="13"/>
      <x:c r="G52" s="13"/>
      <x:c r="H52" s="23"/>
      <x:c r="I52" s="16" t="str">
        <x:f>IF(A52="","",IF('Auxiliar'!B8&lt;&gt;"OK","Conferir Auxiliar",IF(A52="","",IF(J52&lt;&gt;"OK","Conferir cadastro",IF(G52&lt;&gt;"",IF(AND(ISNUMBER(G52),G52&gt;0,G52&lt;='Auxiliar'!$B$5),"Pago","Conferir data"),IF(F52&lt;'Auxiliar'!$B$5,"Vencido",IF(F52='Auxiliar'!$B$5,"Vence hoje","A vencer")))))))</x:f>
      </x:c>
      <x:c r="J52" s="16" t="str">
        <x:f>IF(COUNTA(A52:H52)=0,"",IF(A52="","Informe ID",IF(COUNTIFS($A$7:$A$56,A52)&gt;1,"Duplicado",IF(COUNTIFS('Imoveis'!$A$7:$A$56,B52)&lt;&gt;1,"Sem cadastro único",IF(AND(C52="Aluguel",INDEX('Imoveis'!$C$7:$C$56,MATCH(B52,'Imoveis'!$A$7:$A$56,0))="Próprio"),"Aluguel indevido",IF(OR(C52="",NOT(ISNUMBER(D52)),D52&lt;=0,NOT(ISNUMBER(E52)),E52&lt;0,NOT(ISNUMBER(F52)),F52&lt;=0,AND(H52&lt;&gt;"Completa",H52&lt;&gt;"Pendente")),"Incompleto",IF(AND(G52&lt;&gt;"",OR(NOT(ISNUMBER(G52)),G52&lt;=0,G52&gt;'Auxiliar'!$B$5)),"Conferir data","OK")))))))</x:f>
      </x:c>
    </x:row>
    <x:row r="53" ht="40" customHeight="1">
      <x:c r="A53" s="23"/>
      <x:c r="B53" s="23"/>
      <x:c r="C53" s="23"/>
      <x:c r="D53" s="24"/>
      <x:c r="E53" s="26"/>
      <x:c r="F53" s="13"/>
      <x:c r="G53" s="13"/>
      <x:c r="H53" s="23"/>
      <x:c r="I53" s="16" t="str">
        <x:f>IF(A53="","",IF('Auxiliar'!B8&lt;&gt;"OK","Conferir Auxiliar",IF(A53="","",IF(J53&lt;&gt;"OK","Conferir cadastro",IF(G53&lt;&gt;"",IF(AND(ISNUMBER(G53),G53&gt;0,G53&lt;='Auxiliar'!$B$5),"Pago","Conferir data"),IF(F53&lt;'Auxiliar'!$B$5,"Vencido",IF(F53='Auxiliar'!$B$5,"Vence hoje","A vencer")))))))</x:f>
      </x:c>
      <x:c r="J53" s="16" t="str">
        <x:f>IF(COUNTA(A53:H53)=0,"",IF(A53="","Informe ID",IF(COUNTIFS($A$7:$A$56,A53)&gt;1,"Duplicado",IF(COUNTIFS('Imoveis'!$A$7:$A$56,B53)&lt;&gt;1,"Sem cadastro único",IF(AND(C53="Aluguel",INDEX('Imoveis'!$C$7:$C$56,MATCH(B53,'Imoveis'!$A$7:$A$56,0))="Próprio"),"Aluguel indevido",IF(OR(C53="",NOT(ISNUMBER(D53)),D53&lt;=0,NOT(ISNUMBER(E53)),E53&lt;0,NOT(ISNUMBER(F53)),F53&lt;=0,AND(H53&lt;&gt;"Completa",H53&lt;&gt;"Pendente")),"Incompleto",IF(AND(G53&lt;&gt;"",OR(NOT(ISNUMBER(G53)),G53&lt;=0,G53&gt;'Auxiliar'!$B$5)),"Conferir data","OK")))))))</x:f>
      </x:c>
    </x:row>
    <x:row r="54" ht="40" customHeight="1">
      <x:c r="A54" s="23"/>
      <x:c r="B54" s="23"/>
      <x:c r="C54" s="23"/>
      <x:c r="D54" s="24"/>
      <x:c r="E54" s="26"/>
      <x:c r="F54" s="13"/>
      <x:c r="G54" s="13"/>
      <x:c r="H54" s="23"/>
      <x:c r="I54" s="16" t="str">
        <x:f>IF(A54="","",IF('Auxiliar'!B8&lt;&gt;"OK","Conferir Auxiliar",IF(A54="","",IF(J54&lt;&gt;"OK","Conferir cadastro",IF(G54&lt;&gt;"",IF(AND(ISNUMBER(G54),G54&gt;0,G54&lt;='Auxiliar'!$B$5),"Pago","Conferir data"),IF(F54&lt;'Auxiliar'!$B$5,"Vencido",IF(F54='Auxiliar'!$B$5,"Vence hoje","A vencer")))))))</x:f>
      </x:c>
      <x:c r="J54" s="16" t="str">
        <x:f>IF(COUNTA(A54:H54)=0,"",IF(A54="","Informe ID",IF(COUNTIFS($A$7:$A$56,A54)&gt;1,"Duplicado",IF(COUNTIFS('Imoveis'!$A$7:$A$56,B54)&lt;&gt;1,"Sem cadastro único",IF(AND(C54="Aluguel",INDEX('Imoveis'!$C$7:$C$56,MATCH(B54,'Imoveis'!$A$7:$A$56,0))="Próprio"),"Aluguel indevido",IF(OR(C54="",NOT(ISNUMBER(D54)),D54&lt;=0,NOT(ISNUMBER(E54)),E54&lt;0,NOT(ISNUMBER(F54)),F54&lt;=0,AND(H54&lt;&gt;"Completa",H54&lt;&gt;"Pendente")),"Incompleto",IF(AND(G54&lt;&gt;"",OR(NOT(ISNUMBER(G54)),G54&lt;=0,G54&gt;'Auxiliar'!$B$5)),"Conferir data","OK")))))))</x:f>
      </x:c>
    </x:row>
    <x:row r="55" ht="40" customHeight="1">
      <x:c r="A55" s="23"/>
      <x:c r="B55" s="23"/>
      <x:c r="C55" s="23"/>
      <x:c r="D55" s="24"/>
      <x:c r="E55" s="26"/>
      <x:c r="F55" s="13"/>
      <x:c r="G55" s="13"/>
      <x:c r="H55" s="23"/>
      <x:c r="I55" s="16" t="str">
        <x:f>IF(A55="","",IF('Auxiliar'!B8&lt;&gt;"OK","Conferir Auxiliar",IF(A55="","",IF(J55&lt;&gt;"OK","Conferir cadastro",IF(G55&lt;&gt;"",IF(AND(ISNUMBER(G55),G55&gt;0,G55&lt;='Auxiliar'!$B$5),"Pago","Conferir data"),IF(F55&lt;'Auxiliar'!$B$5,"Vencido",IF(F55='Auxiliar'!$B$5,"Vence hoje","A vencer")))))))</x:f>
      </x:c>
      <x:c r="J55" s="16" t="str">
        <x:f>IF(COUNTA(A55:H55)=0,"",IF(A55="","Informe ID",IF(COUNTIFS($A$7:$A$56,A55)&gt;1,"Duplicado",IF(COUNTIFS('Imoveis'!$A$7:$A$56,B55)&lt;&gt;1,"Sem cadastro único",IF(AND(C55="Aluguel",INDEX('Imoveis'!$C$7:$C$56,MATCH(B55,'Imoveis'!$A$7:$A$56,0))="Próprio"),"Aluguel indevido",IF(OR(C55="",NOT(ISNUMBER(D55)),D55&lt;=0,NOT(ISNUMBER(E55)),E55&lt;0,NOT(ISNUMBER(F55)),F55&lt;=0,AND(H55&lt;&gt;"Completa",H55&lt;&gt;"Pendente")),"Incompleto",IF(AND(G55&lt;&gt;"",OR(NOT(ISNUMBER(G55)),G55&lt;=0,G55&gt;'Auxiliar'!$B$5)),"Conferir data","OK")))))))</x:f>
      </x:c>
    </x:row>
    <x:row r="56" ht="40" customHeight="1">
      <x:c r="A56" s="23"/>
      <x:c r="B56" s="23"/>
      <x:c r="C56" s="23"/>
      <x:c r="D56" s="24"/>
      <x:c r="E56" s="26"/>
      <x:c r="F56" s="13"/>
      <x:c r="G56" s="13"/>
      <x:c r="H56" s="23"/>
      <x:c r="I56" s="16" t="str">
        <x:f>IF(A56="","",IF('Auxiliar'!B8&lt;&gt;"OK","Conferir Auxiliar",IF(A56="","",IF(J56&lt;&gt;"OK","Conferir cadastro",IF(G56&lt;&gt;"",IF(AND(ISNUMBER(G56),G56&gt;0,G56&lt;='Auxiliar'!$B$5),"Pago","Conferir data"),IF(F56&lt;'Auxiliar'!$B$5,"Vencido",IF(F56='Auxiliar'!$B$5,"Vence hoje","A vencer")))))))</x:f>
      </x:c>
      <x:c r="J56" s="16" t="str">
        <x:f>IF(COUNTA(A56:H56)=0,"",IF(A56="","Informe ID",IF(COUNTIFS($A$7:$A$56,A56)&gt;1,"Duplicado",IF(COUNTIFS('Imoveis'!$A$7:$A$56,B56)&lt;&gt;1,"Sem cadastro único",IF(AND(C56="Aluguel",INDEX('Imoveis'!$C$7:$C$56,MATCH(B56,'Imoveis'!$A$7:$A$56,0))="Próprio"),"Aluguel indevido",IF(OR(C56="",NOT(ISNUMBER(D56)),D56&lt;=0,NOT(ISNUMBER(E56)),E56&lt;0,NOT(ISNUMBER(F56)),F56&lt;=0,AND(H56&lt;&gt;"Completa",H56&lt;&gt;"Pendente")),"Incompleto",IF(AND(G56&lt;&gt;"",OR(NOT(ISNUMBER(G56)),G56&lt;=0,G56&gt;'Auxiliar'!$B$5)),"Conferir data","OK")))))))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</x:row>
  </x:sheetData>
  <x:conditionalFormatting sqref="I7:J56">
    <x:cfRule type="containsText" dxfId="20" priority="1" operator="containsText" text="Vencido"/>
    <x:cfRule type="containsText" dxfId="21" priority="2" operator="containsText" text="Vence hoje"/>
    <x:cfRule type="containsText" dxfId="22" priority="3" operator="containsText" text="Revisar"/>
    <x:cfRule type="containsText" dxfId="23" priority="4" operator="containsText" text="Incompleto"/>
    <x:cfRule type="containsText" dxfId="24" priority="5" operator="containsText" text="Duplicado"/>
    <x:cfRule type="containsText" dxfId="25" priority="6" operator="containsText" text="Sem cadastro"/>
    <x:cfRule type="containsText" dxfId="26" priority="7" operator="containsText" text="Conferir"/>
    <x:cfRule type="containsText" dxfId="27" priority="8" operator="containsText" text="Aluguel indevido"/>
    <x:cfRule type="containsText" dxfId="28" priority="9" operator="containsText" text="Risco"/>
    <x:cfRule type="containsText" dxfId="29" priority="10" operator="containsText" text="Em até 30 dias"/>
  </x:conditionalFormatting>
  <x:conditionalFormatting sqref="J7:J56">
    <x:cfRule type="containsText" dxfId="41" priority="11" operator="containsText" text="Informe"/>
  </x:conditionalFormatting>
  <x:dataValidations count="4">
    <x:dataValidation type="list" sqref="C7:C56">
      <x:formula1>"Aluguel,Condomínio,IPTU,Taxa"</x:formula1>
    </x:dataValidation>
    <x:dataValidation type="list" sqref="H7:H56">
      <x:formula1>"Completa,Pendente"</x:formula1>
    </x:dataValidation>
    <x:dataValidation type="list" sqref="B7:B56">
      <x:formula1>'Imoveis'!$A$7:$A$56</x:formula1>
    </x:dataValidation>
    <x:dataValidation type="decimal" operator="between" sqref="E7:E56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1f536eb92dd4b6b"/>
  </x:tableParts>
</x:worksheet>
</file>

<file path=xl/worksheets/sheet4.xml><?xml version="1.0" encoding="utf-8"?>
<x:worksheet xmlns:x="http://schemas.openxmlformats.org/spreadsheetml/2006/main">
  <x:sheetPr>
    <x:tabColor rgb="FFB29B65"/>
  </x:sheetPr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8" customHeight="1">
      <x:c r="A1" s="4"/>
      <x:c r="B1" s="4"/>
      <x:c r="C1" s="4"/>
      <x:c r="D1" s="4"/>
      <x:c r="E1" s="4"/>
      <x:c r="F1" s="4"/>
    </x:row>
    <x:row r="2" ht="35" customHeight="1">
      <x:c r="A2" s="5" t="str">
        <x:v>Configuração e listas</x:v>
      </x:c>
      <x:c r="B2" s="4"/>
      <x:c r="C2" s="4"/>
      <x:c r="D2" s="4"/>
      <x:c r="E2" s="4"/>
      <x:c r="F2" s="4"/>
    </x:row>
    <x:row r="3" ht="28" customHeight="1">
      <x:c r="A3" s="4"/>
      <x:c r="B3" s="4"/>
      <x:c r="C3" s="4"/>
      <x:c r="D3" s="4"/>
      <x:c r="E3" s="4"/>
      <x:c r="F3" s="4"/>
    </x:row>
    <x:row r="4" ht="28" customHeight="1">
      <x:c r="A4" s="8" t="str">
        <x:v>Campo</x:v>
      </x:c>
      <x:c r="B4" s="8" t="str">
        <x:v>Preencha aqui</x:v>
      </x:c>
      <x:c r="C4" s="6"/>
      <x:c r="D4" s="6"/>
      <x:c r="E4" s="6"/>
      <x:c r="F4" s="6"/>
    </x:row>
    <x:row r="5" ht="28" customHeight="1">
      <x:c r="A5" s="3" t="str">
        <x:v>Data de referência</x:v>
      </x:c>
      <x:c r="B5" s="13" t="n">
        <x:v>46282</x:v>
      </x:c>
      <x:c r="C5" s="3"/>
      <x:c r="D5" s="3" t="str">
        <x:v>Células amarelas: preencher</x:v>
      </x:c>
      <x:c r="E5" s="3"/>
      <x:c r="F5" s="3"/>
    </x:row>
    <x:row r="6" ht="28" customHeight="1">
      <x:c r="A6" s="3" t="str">
        <x:v>Mês de competência</x:v>
      </x:c>
      <x:c r="B6" s="14" t="n">
        <x:v>46266</x:v>
      </x:c>
      <x:c r="C6" s="3"/>
      <x:c r="D6" s="3" t="str">
        <x:v>Células verdes: cálculo</x:v>
      </x:c>
      <x:c r="E6" s="3"/>
      <x:c r="F6" s="3"/>
    </x:row>
    <x:row r="7" ht="28" customHeight="1">
      <x:c r="A7" s="3"/>
      <x:c r="B7" s="3"/>
      <x:c r="C7" s="3"/>
      <x:c r="D7" s="3"/>
      <x:c r="E7" s="3"/>
      <x:c r="F7" s="3"/>
    </x:row>
    <x:row r="8" ht="28" customHeight="1">
      <x:c r="A8" s="3" t="str">
        <x:v>Configuração</x:v>
      </x:c>
      <x:c r="B8" s="16" t="str">
        <x:f>IF(AND(ISNUMBER(B5),B5&gt;0,B5&lt;2958466,ISNUMBER(B6),B6&gt;0,B6&lt;2958466),IF(DAY(B6)=1,"OK","Use dia 1 no mês"),"Informe datas válidas")</x:f>
        <x:v>OK</x:v>
      </x:c>
      <x:c r="C8" s="3"/>
      <x:c r="D8" s="17" t="str">
        <x:v>Use datas completas e valores numéricos.</x:v>
      </x:c>
      <x:c r="E8" s="17"/>
      <x:c r="F8" s="17"/>
    </x:row>
    <x:row r="9" ht="28" customHeight="1">
      <x:c r="A9" s="3"/>
      <x:c r="B9" s="3"/>
      <x:c r="C9" s="3"/>
      <x:c r="D9" s="17" t="str">
        <x:v>No mês de competência, informe o dia 1.</x:v>
      </x:c>
      <x:c r="E9" s="17"/>
      <x:c r="F9" s="17"/>
    </x:row>
    <x:row r="10" ht="28" customHeight="1">
      <x:c r="A10" s="3" t="str">
        <x:v>Documentos</x:v>
      </x:c>
      <x:c r="B10" s="3" t="str">
        <x:v>Tipo de imóvel</x:v>
      </x:c>
      <x:c r="C10" s="3"/>
      <x:c r="D10" s="3"/>
      <x:c r="E10" s="3"/>
      <x:c r="F10" s="3"/>
    </x:row>
    <x:row r="11" ht="28" customHeight="1">
      <x:c r="A11" s="3" t="str">
        <x:v>Completa</x:v>
      </x:c>
      <x:c r="B11" s="3" t="str">
        <x:v>Locado</x:v>
      </x:c>
      <x:c r="C11" s="3"/>
      <x:c r="D11" s="3" t="str">
        <x:v>Exemplos criados para o portfólio.</x:v>
      </x:c>
      <x:c r="E11" s="3"/>
      <x:c r="F11" s="3"/>
    </x:row>
    <x:row r="12" ht="28" customHeight="1">
      <x:c r="A12" s="3" t="str">
        <x:v>Pendente</x:v>
      </x:c>
      <x:c r="B12" s="3" t="str">
        <x:v>Próprio</x:v>
      </x:c>
      <x:c r="C12" s="3"/>
      <x:c r="D12" s="3"/>
      <x:c r="E12" s="3"/>
      <x:c r="F12" s="3"/>
    </x:row>
    <x:row r="13" ht="28" customHeight="1">
      <x:c r="A13" s="3"/>
      <x:c r="B13" s="3"/>
      <x:c r="C13" s="3"/>
      <x:c r="D13" s="3"/>
      <x:c r="E13" s="3"/>
      <x:c r="F13" s="3"/>
    </x:row>
    <x:row r="14" ht="28" customHeight="1">
      <x:c r="A14" s="3"/>
      <x:c r="B14" s="3"/>
      <x:c r="C14" s="3"/>
      <x:c r="D14" s="3"/>
      <x:c r="E14" s="3"/>
      <x:c r="F14" s="3"/>
    </x:row>
    <x:row r="15" ht="28" customHeight="1">
      <x:c r="A15" s="3"/>
      <x:c r="B15" s="3"/>
      <x:c r="C15" s="3"/>
      <x:c r="D15" s="3"/>
      <x:c r="E15" s="3"/>
      <x:c r="F15" s="3"/>
    </x:row>
    <x:row r="16" ht="28" customHeight="1">
      <x:c r="A16" s="3"/>
      <x:c r="B16" s="3"/>
      <x:c r="C16" s="3"/>
      <x:c r="D16" s="3"/>
      <x:c r="E16" s="3"/>
      <x:c r="F16" s="3"/>
    </x:row>
    <x:row r="17" ht="28" customHeight="1">
      <x:c r="A17" s="3"/>
      <x:c r="B17" s="3"/>
      <x:c r="C17" s="3"/>
      <x:c r="D17" s="3"/>
      <x:c r="E17" s="3"/>
      <x:c r="F17" s="3"/>
    </x:row>
    <x:row r="18" ht="28" customHeight="1">
      <x:c r="A18" s="3"/>
      <x:c r="B18" s="3"/>
      <x:c r="C18" s="3"/>
      <x:c r="D18" s="3"/>
      <x:c r="E18" s="3"/>
      <x:c r="F18" s="3"/>
    </x:row>
    <x:row r="19" ht="28" customHeight="1">
      <x:c r="A19" s="3"/>
      <x:c r="B19" s="3"/>
      <x:c r="C19" s="3"/>
      <x:c r="D19" s="3"/>
      <x:c r="E19" s="3"/>
      <x:c r="F19" s="3"/>
    </x:row>
    <x:row r="20" ht="28" customHeight="1">
      <x:c r="A20" s="3"/>
      <x:c r="B20" s="3"/>
      <x:c r="C20" s="3"/>
      <x:c r="D20" s="3"/>
      <x:c r="E20" s="3"/>
      <x:c r="F20" s="3"/>
    </x:row>
    <x:row r="21" ht="28" customHeight="1">
      <x:c r="A21" s="3"/>
      <x:c r="B21" s="3"/>
      <x:c r="C21" s="3"/>
      <x:c r="D21" s="3"/>
      <x:c r="E21" s="3"/>
      <x:c r="F21" s="3"/>
    </x:row>
    <x:row r="22" ht="28" customHeight="1">
      <x:c r="A22" s="3"/>
      <x:c r="B22" s="3"/>
      <x:c r="C22" s="3"/>
      <x:c r="D22" s="3"/>
      <x:c r="E22" s="3"/>
      <x:c r="F22" s="3"/>
    </x:row>
    <x:row r="23" ht="28" customHeight="1">
      <x:c r="A23" s="3"/>
      <x:c r="B23" s="3"/>
      <x:c r="C23" s="3"/>
      <x:c r="D23" s="3"/>
      <x:c r="E23" s="3"/>
      <x:c r="F23" s="3"/>
    </x:row>
    <x:row r="24" ht="28" customHeight="1">
      <x:c r="A24" s="3"/>
      <x:c r="B24" s="3"/>
      <x:c r="C24" s="3"/>
      <x:c r="D24" s="3"/>
      <x:c r="E24" s="3"/>
      <x:c r="F24" s="3"/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/>
      <x:c r="B26" s="3"/>
      <x:c r="C26" s="3"/>
      <x:c r="D26" s="3"/>
      <x:c r="E26" s="3"/>
      <x:c r="F26" s="3"/>
    </x:row>
    <x:row r="27" ht="28" customHeight="1">
      <x:c r="A27" s="3"/>
      <x:c r="B27" s="3"/>
      <x:c r="C27" s="3"/>
      <x:c r="D27" s="3"/>
      <x:c r="E27" s="3"/>
      <x:c r="F27" s="3"/>
    </x:row>
    <x:row r="28" ht="28" customHeight="1">
      <x:c r="A28" s="3"/>
      <x:c r="B28" s="3"/>
      <x:c r="C28" s="3"/>
      <x:c r="D28" s="3"/>
      <x:c r="E28" s="3"/>
      <x:c r="F28" s="3"/>
    </x:row>
    <x:row r="29" ht="28" customHeight="1">
      <x:c r="A29" s="3"/>
      <x:c r="B29" s="3"/>
      <x:c r="C29" s="3"/>
      <x:c r="D29" s="3"/>
      <x:c r="E29" s="3"/>
      <x:c r="F29" s="3"/>
    </x:row>
    <x:row r="30" ht="28" customHeight="1">
      <x:c r="A30" s="3"/>
      <x:c r="B30" s="3"/>
      <x:c r="C30" s="3"/>
      <x:c r="D30" s="3"/>
      <x:c r="E30" s="3"/>
      <x:c r="F30" s="3"/>
    </x:row>
  </x:sheetData>
  <x:conditionalFormatting sqref="B8:B8">
    <x:cfRule type="containsText" dxfId="0" priority="1" operator="containsText" text="Vencido"/>
    <x:cfRule type="containsText" dxfId="1" priority="2" operator="containsText" text="Vence hoje"/>
    <x:cfRule type="containsText" dxfId="2" priority="3" operator="containsText" text="Revisar"/>
    <x:cfRule type="containsText" dxfId="3" priority="4" operator="containsText" text="Incompleto"/>
    <x:cfRule type="containsText" dxfId="4" priority="5" operator="containsText" text="Duplicado"/>
    <x:cfRule type="containsText" dxfId="5" priority="6" operator="containsText" text="Sem cadastro"/>
    <x:cfRule type="containsText" dxfId="6" priority="7" operator="containsText" text="Conferir"/>
    <x:cfRule type="containsText" dxfId="7" priority="8" operator="containsText" text="Aluguel indevido"/>
    <x:cfRule type="containsText" dxfId="8" priority="9" operator="containsText" text="Risco"/>
    <x:cfRule type="containsText" dxfId="9" priority="10" operator="containsText" text="Em até 30 dias"/>
  </x:conditionalFormatting>
  <x:dataValidations count="1">
    <x:dataValidation type="whole" operator="between" sqref="B5:B6">
      <x:formula1>1</x:formula1>
      <x:formula2>2958465</x:formula2>
    </x:dataValidation>
  </x:dataValidations>
  <x:pageMargins left="0.7" right="0.7" top="0.75" bottom="0.75" header="0.3" footer="0.3"/>
</x:worksheet>
</file>