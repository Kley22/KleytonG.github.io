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9a29d0716f4e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inel" sheetId="1" r:id="Re91a82d9769342fb"/>
    <x:sheet xmlns:r="http://schemas.openxmlformats.org/officeDocument/2006/relationships" name="Contratos" sheetId="2" r:id="R51e5936a280549a4"/>
    <x:sheet xmlns:r="http://schemas.openxmlformats.org/officeDocument/2006/relationships" name="Pagamentos" sheetId="3" r:id="R9c7b267513344613"/>
    <x:sheet xmlns:r="http://schemas.openxmlformats.org/officeDocument/2006/relationships" name="Auxiliar" sheetId="4" r:id="R6d1d9079bb1046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/mm/yyyy"/>
    <x:numFmt numFmtId="201" formatCode="mmm/yyyy"/>
    <x:numFmt numFmtId="202" formatCode="#,##0"/>
    <x:numFmt numFmtId="203" formatCode="&quot;R$&quot; #,##0.00"/>
  </x:numFmts>
  <x:fonts count="5">
    <x:font>
      <x:sz val="11"/>
      <x:name val="Carlito"/>
    </x:font>
    <x:font>
      <x:sz val="11"/>
      <x:color rgb="FF243C33"/>
      <x:name val="Arial"/>
    </x:font>
    <x:font>
      <x:b/>
      <x:sz val="16"/>
      <x:color rgb="FF23493D"/>
      <x:name val="Arial"/>
    </x:font>
    <x:font>
      <x:b/>
      <x:sz val="11"/>
      <x:color rgb="FFFFFFFF"/>
      <x:name val="Arial"/>
    </x:font>
    <x:font>
      <x:i/>
      <x:sz val="10"/>
      <x:color rgb="FF68756D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F1CD"/>
      </x:patternFill>
    </x:fill>
    <x:fill>
      <x:patternFill patternType="solid">
        <x:fgColor rgb="FF23493D"/>
      </x:patternFill>
    </x:fill>
    <x:fill>
      <x:patternFill patternType="solid">
        <x:fgColor rgb="FFE9F0E8"/>
      </x:patternFill>
    </x:fill>
  </x:fills>
  <x:borders count="8">
    <x:border/>
    <x:border>
      <x:bottom style="thin">
        <x:color rgb="FF23493D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8EDE7"/>
      </x:bottom>
    </x:border>
    <x:border>
      <x:top style="thin">
        <x:color rgb="FFE8EDE7"/>
      </x:top>
      <x:bottom style="thin">
        <x:color rgb="FFE8EDE7"/>
      </x:bottom>
    </x:border>
    <x:border>
      <x:top style="thin">
        <x:color rgb="FFE8EDE7"/>
      </x:top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center" vertical="center"/>
    </x:xf>
    <x:xf numFmtId="201" fontId="1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vertical="center"/>
    </x:xf>
    <x:xf numFmtId="0" fontId="3" fillId="4" borderId="3" xfId="0" applyNumberFormat="1" applyFont="1" applyFill="1" applyBorder="1" applyAlignment="1">
      <x:alignment vertical="center"/>
    </x:xf>
    <x:xf numFmtId="0" fontId="3" fillId="4" borderId="4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vertical="center"/>
    </x:xf>
    <x:xf numFmtId="0" fontId="1" fillId="5" borderId="5" xfId="0" applyNumberFormat="1" applyFont="1" applyFill="1" applyBorder="1" applyAlignment="1">
      <x:alignment vertical="center"/>
    </x:xf>
    <x:xf numFmtId="0" fontId="1" fillId="3" borderId="6" xfId="0" applyNumberFormat="1" applyFont="1" applyFill="1" applyBorder="1" applyAlignment="1">
      <x:alignment vertical="center"/>
    </x:xf>
    <x:xf numFmtId="0" fontId="1" fillId="5" borderId="6" xfId="0" applyNumberFormat="1" applyFont="1" applyFill="1" applyBorder="1" applyAlignment="1">
      <x:alignment vertical="center"/>
    </x:xf>
    <x:xf numFmtId="0" fontId="1" fillId="3" borderId="7" xfId="0" applyNumberFormat="1" applyFont="1" applyFill="1" applyBorder="1" applyAlignment="1">
      <x:alignment vertical="center"/>
    </x:xf>
    <x:xf numFmtId="0" fontId="1" fillId="5" borderId="7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vertical="center" wrapText="1"/>
    </x:xf>
    <x:xf numFmtId="0" fontId="1" fillId="3" borderId="6" xfId="0" applyNumberFormat="1" applyFont="1" applyFill="1" applyBorder="1" applyAlignment="1">
      <x:alignment vertical="center" wrapText="1"/>
    </x:xf>
    <x:xf numFmtId="0" fontId="1" fillId="3" borderId="7" xfId="0" applyNumberFormat="1" applyFont="1" applyFill="1" applyBorder="1" applyAlignment="1">
      <x:alignment vertical="center" wrapText="1"/>
    </x:xf>
    <x:xf numFmtId="200" fontId="1" fillId="3" borderId="5" xfId="0" applyNumberFormat="1" applyFont="1" applyFill="1" applyBorder="1" applyAlignment="1">
      <x:alignment vertical="center"/>
    </x:xf>
    <x:xf numFmtId="200" fontId="1" fillId="3" borderId="6" xfId="0" applyNumberFormat="1" applyFont="1" applyFill="1" applyBorder="1" applyAlignment="1">
      <x:alignment vertical="center"/>
    </x:xf>
    <x:xf numFmtId="200" fontId="1" fillId="3" borderId="7" xfId="0" applyNumberFormat="1" applyFont="1" applyFill="1" applyBorder="1" applyAlignment="1">
      <x:alignment vertical="center"/>
    </x:xf>
    <x:xf numFmtId="200" fontId="1" fillId="3" borderId="5" xfId="0" applyNumberFormat="1" applyFont="1" applyFill="1" applyBorder="1" applyAlignment="1">
      <x:alignment horizontal="center" vertical="center"/>
    </x:xf>
    <x:xf numFmtId="200" fontId="1" fillId="3" borderId="6" xfId="0" applyNumberFormat="1" applyFont="1" applyFill="1" applyBorder="1" applyAlignment="1">
      <x:alignment horizontal="center" vertical="center"/>
    </x:xf>
    <x:xf numFmtId="200" fontId="1" fillId="3" borderId="7" xfId="0" applyNumberFormat="1" applyFont="1" applyFill="1" applyBorder="1" applyAlignment="1">
      <x:alignment horizontal="center" vertical="center"/>
    </x:xf>
    <x:xf numFmtId="202" fontId="1" fillId="3" borderId="5" xfId="0" applyNumberFormat="1" applyFont="1" applyFill="1" applyBorder="1" applyAlignment="1">
      <x:alignment vertical="center"/>
    </x:xf>
    <x:xf numFmtId="202" fontId="1" fillId="3" borderId="6" xfId="0" applyNumberFormat="1" applyFont="1" applyFill="1" applyBorder="1" applyAlignment="1">
      <x:alignment vertical="center"/>
    </x:xf>
    <x:xf numFmtId="202" fontId="1" fillId="3" borderId="7" xfId="0" applyNumberFormat="1" applyFont="1" applyFill="1" applyBorder="1" applyAlignment="1">
      <x:alignment vertical="center"/>
    </x:xf>
    <x:xf numFmtId="203" fontId="1" fillId="3" borderId="5" xfId="0" applyNumberFormat="1" applyFont="1" applyFill="1" applyBorder="1" applyAlignment="1">
      <x:alignment vertical="center"/>
    </x:xf>
    <x:xf numFmtId="203" fontId="1" fillId="5" borderId="5" xfId="0" applyNumberFormat="1" applyFont="1" applyFill="1" applyBorder="1" applyAlignment="1">
      <x:alignment vertical="center"/>
    </x:xf>
    <x:xf numFmtId="203" fontId="1" fillId="3" borderId="6" xfId="0" applyNumberFormat="1" applyFont="1" applyFill="1" applyBorder="1" applyAlignment="1">
      <x:alignment vertical="center"/>
    </x:xf>
    <x:xf numFmtId="203" fontId="1" fillId="5" borderId="6" xfId="0" applyNumberFormat="1" applyFont="1" applyFill="1" applyBorder="1" applyAlignment="1">
      <x:alignment vertical="center"/>
    </x:xf>
    <x:xf numFmtId="203" fontId="1" fillId="3" borderId="7" xfId="0" applyNumberFormat="1" applyFont="1" applyFill="1" applyBorder="1" applyAlignment="1">
      <x:alignment vertical="center"/>
    </x:xf>
    <x:xf numFmtId="203" fontId="1" fillId="5" borderId="7" xfId="0" applyNumberFormat="1" applyFont="1" applyFill="1" applyBorder="1" applyAlignment="1">
      <x:alignment vertical="center"/>
    </x:xf>
    <x:xf numFmtId="201" fontId="1" fillId="3" borderId="5" xfId="0" applyNumberFormat="1" applyFont="1" applyFill="1" applyBorder="1" applyAlignment="1">
      <x:alignment horizontal="center" vertical="center"/>
    </x:xf>
    <x:xf numFmtId="201" fontId="1" fillId="3" borderId="6" xfId="0" applyNumberFormat="1" applyFont="1" applyFill="1" applyBorder="1" applyAlignment="1">
      <x:alignment horizontal="center" vertical="center"/>
    </x:xf>
    <x:xf numFmtId="201" fontId="1" fillId="3" borderId="7" xfId="0" applyNumberFormat="1" applyFont="1" applyFill="1" applyBorder="1" applyAlignment="1">
      <x:alignment horizontal="center" vertical="center"/>
    </x:xf>
    <x:xf numFmtId="201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3" fontId="1" fillId="5" borderId="0" xfId="0" applyNumberFormat="1" applyFont="1" applyFill="1" applyBorder="1" applyAlignment="1">
      <x:alignment vertical="center"/>
    </x:xf>
    <x:xf numFmtId="203" fontId="1" fillId="2" borderId="0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horizontal="center" vertical="center"/>
    </x:xf>
    <x:xf numFmtId="0" fontId="1" fillId="5" borderId="5" xfId="0" applyNumberFormat="1" applyFont="1" applyFill="1" applyBorder="1" applyAlignment="1">
      <x:alignment horizontal="center" vertical="center"/>
    </x:xf>
    <x:xf numFmtId="0" fontId="1" fillId="3" borderId="6" xfId="0" applyNumberFormat="1" applyFont="1" applyFill="1" applyBorder="1" applyAlignment="1">
      <x:alignment horizontal="center" vertical="center"/>
    </x:xf>
    <x:xf numFmtId="0" fontId="1" fillId="5" borderId="6" xfId="0" applyNumberFormat="1" applyFont="1" applyFill="1" applyBorder="1" applyAlignment="1">
      <x:alignment horizontal="center" vertical="center"/>
    </x:xf>
    <x:xf numFmtId="0" fontId="1" fillId="3" borderId="7" xfId="0" applyNumberFormat="1" applyFont="1" applyFill="1" applyBorder="1" applyAlignment="1">
      <x:alignment horizontal="center" vertical="center"/>
    </x:xf>
    <x:xf numFmtId="0" fontId="1" fillId="5" borderId="7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9">
    <x:dxf>
      <x:font>
        <x:b/>
        <x:color rgb="FFA0302D"/>
      </x:font>
      <x:fill>
        <x:patternFill patternType="solid">
          <x:bgColor rgb="FFFBE8E4"/>
        </x:patternFill>
      </x:fill>
    </x:dxf>
    <x:dxf>
      <x:font>
        <x:b/>
        <x:color rgb="FFA0302D"/>
      </x:font>
      <x:fill>
        <x:patternFill patternType="solid">
          <x:bgColor rgb="FFFBE8E4"/>
        </x:patternFill>
      </x:fill>
    </x:dxf>
    <x:dxf>
      <x:font>
        <x:b/>
        <x:color rgb="FFA0302D"/>
      </x:font>
      <x:fill>
        <x:patternFill patternType="solid">
          <x:bgColor rgb="FFFBE8E4"/>
        </x:patternFill>
      </x:fill>
    </x:dxf>
    <x:dxf>
      <x:font>
        <x:b/>
        <x:color rgb="FFA0302D"/>
      </x:font>
      <x:fill>
        <x:patternFill patternType="solid">
          <x:bgColor rgb="FFFBE8E4"/>
        </x:patternFill>
      </x:fill>
    </x:dxf>
    <x:dxf>
      <x:font>
        <x:b/>
      </x:font>
      <x:fill>
        <x:patternFill patternType="solid">
          <x:bgColor rgb="FFFFF1CD"/>
        </x:patternFill>
      </x:fill>
    </x:dxf>
    <x:dxf>
      <x:font>
        <x:b/>
        <x:color rgb="FFA0302D"/>
      </x:font>
      <x:fill>
        <x:patternFill patternType="solid">
          <x:bgColor rgb="FFFBE8E4"/>
        </x:patternFill>
      </x:fill>
    </x:dxf>
    <x:dxf>
      <x:font>
        <x:b/>
        <x:color rgb="FFA0302D"/>
      </x:font>
      <x:fill>
        <x:patternFill patternType="solid">
          <x:bgColor rgb="FFFBE8E4"/>
        </x:patternFill>
      </x:fill>
    </x:dxf>
    <x:dxf>
      <x:font>
        <x:b/>
        <x:color rgb="FFA0302D"/>
      </x:font>
      <x:fill>
        <x:patternFill patternType="solid">
          <x:bgColor rgb="FFFBE8E4"/>
        </x:patternFill>
      </x:fill>
    </x:dxf>
    <x:dxf>
      <x:font>
        <x:b/>
        <x:color rgb="FFA0302D"/>
      </x:font>
      <x:fill>
        <x:patternFill patternType="solid">
          <x:bgColor rgb="FFFBE8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e8040b626847ce" /><Relationship Type="http://schemas.openxmlformats.org/officeDocument/2006/relationships/theme" Target="/xl/theme/theme1.xml" Id="R907306588a024047" /><Relationship Type="http://schemas.openxmlformats.org/officeDocument/2006/relationships/sharedStrings" Target="/xl/sharedStrings.xml" Id="Re82a577f66ee4230" /><Relationship Type="http://schemas.openxmlformats.org/officeDocument/2006/relationships/worksheet" Target="/xl/worksheets/sheet1.xml" Id="Re91a82d9769342fb" /><Relationship Type="http://schemas.openxmlformats.org/officeDocument/2006/relationships/worksheet" Target="/xl/worksheets/sheet2.xml" Id="R51e5936a280549a4" /><Relationship Type="http://schemas.openxmlformats.org/officeDocument/2006/relationships/worksheet" Target="/xl/worksheets/sheet3.xml" Id="R9c7b267513344613" /><Relationship Type="http://schemas.openxmlformats.org/officeDocument/2006/relationships/worksheet" Target="/xl/worksheets/sheet4.xml" Id="R6d1d9079bb1046e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1d12fbb835b410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Arial"/>
                <a:ea typeface="Arial"/>
                <a:cs typeface="Arial"/>
              </a:rPr>
              <a:t>Pagamento das cobranças (R$)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Valor (R$)</c:v>
          </c:tx>
          <c:spPr>
            <a:solidFill xmlns:a="http://schemas.openxmlformats.org/drawingml/2006/main">
              <a:srgbClr val="23493D"/>
            </a:solidFill>
          </c:spPr>
          <c:cat>
            <c:strRef>
              <c:f>'Painel'!$A$20:$A$21</c:f>
              <c:strCache>
                <c:ptCount val="0"/>
              </c:strCache>
            </c:strRef>
          </c:cat>
          <c:val>
            <c:numRef>
              <c:f>'Painel'!$B$20:$B$21</c:f>
              <c:numCache>
                <c:formatCode>"R$" 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R$&quot; #,##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6</xdr:row>
      <xdr:rowOff>0</xdr:rowOff>
    </xdr:from>
    <xdr:to>
      <xdr:col>12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1d12fbb835b410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ontratosEstacionamento" displayName="ContratosEstacionamento" ref="A6:O56" headerRowCount="1" totalsRowCount="0" totalsRowShown="0">
  <x:tableColumns count="15">
    <x:tableColumn id="1" name="Contrato"/>
    <x:tableColumn id="2" name="Objeto"/>
    <x:tableColumn id="3" name="Fornecedor"/>
    <x:tableColumn id="4" name="Início"/>
    <x:tableColumn id="5" name="Fim"/>
    <x:tableColumn id="6" name="Situação cadastral"/>
    <x:tableColumn id="7" name="Vagas contratadas"/>
    <x:tableColumn id="8" name="Tarifa mensal por vaga (R$)"/>
    <x:tableColumn id="9" name="Mensalidade contratada (R$)"/>
    <x:tableColumn id="10" name="Situação na referência"/>
    <x:tableColumn id="11" name="Dias até o fim"/>
    <x:tableColumn id="12" name="Vagas ativas"/>
    <x:tableColumn id="13" name="Mensalidade ativa (R$)"/>
    <x:tableColumn id="14" name="Vencimento próximo"/>
    <x:tableColumn id="15" name="Conferênci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gamentosEstacionamento" displayName="PagamentosEstacionamento" ref="A6:M56" headerRowCount="1" totalsRowCount="0" totalsRowShown="0">
  <x:tableColumns count="13">
    <x:tableColumn id="1" name="ID"/>
    <x:tableColumn id="2" name="Contrato"/>
    <x:tableColumn id="3" name="Descrição"/>
    <x:tableColumn id="4" name="Competência"/>
    <x:tableColumn id="5" name="Valor da cobrança (R$)"/>
    <x:tableColumn id="6" name="Vencimento"/>
    <x:tableColumn id="7" name="Data do pagamento"/>
    <x:tableColumn id="8" name="Documentação"/>
    <x:tableColumn id="9" name="Etapa administrativa"/>
    <x:tableColumn id="10" name="Situação financeira"/>
    <x:tableColumn id="11" name="Conferência"/>
    <x:tableColumn id="12" name="Valor válido (R$)"/>
    <x:tableColumn id="13" name="Documentos penden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5f7eafc40d44b1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2bb9539e82c459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46ffe5edc874001" /></Relationships>
</file>

<file path=xl/worksheets/sheet1.xml><?xml version="1.0" encoding="utf-8"?>
<x:worksheet xmlns:x="http://schemas.openxmlformats.org/spreadsheetml/2006/main">
  <x:sheetPr>
    <x:tabColor rgb="FF23493D"/>
  </x:sheetPr>
  <x:sheetViews>
    <x:sheetView showGridLines="0" workbookViewId="0"/>
  </x:sheetViews>
  <x:sheetFormatPr defaultRowHeight="15"/>
  <x:cols>
    <x:col min="1" max="1" width="37" hidden="0" customWidth="1"/>
    <x:col min="2" max="2" width="22" hidden="0" customWidth="1"/>
    <x:col min="3" max="3" width="4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</x:cols>
  <x:sheetData>
    <x:row r="1" ht="12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2" customHeight="1">
      <x:c r="A2" s="4" t="str">
        <x:v>Contratos de estacionamento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25" customHeight="1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4" ht="25" customHeight="1">
      <x:c r="A4" s="3" t="str">
        <x:v>Mês selecionado</x:v>
      </x:c>
      <x:c r="B4" s="50" t="n">
        <x:f>'Auxiliar'!B5</x:f>
        <x:v>46266</x:v>
      </x:c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5" ht="25" customHeight="1">
      <x:c r="A5" s="3" t="str">
        <x:v>Posição em</x:v>
      </x:c>
      <x:c r="B5" s="51" t="n">
        <x:f>'Auxiliar'!B4</x:f>
        <x:v>46282</x:v>
      </x:c>
      <x:c r="C5" s="3"/>
      <x:c r="D5" s="3"/>
      <x:c r="E5" s="3"/>
      <x:c r="F5" s="3"/>
      <x:c r="G5" s="3"/>
      <x:c r="H5" s="3"/>
      <x:c r="I5" s="3"/>
      <x:c r="J5" s="3"/>
      <x:c r="K5" s="3"/>
      <x:c r="L5" s="3"/>
    </x:row>
    <x:row r="6" ht="25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</x:row>
    <x:row r="7" ht="46" customHeight="1">
      <x:c r="A7" s="18" t="str">
        <x:v>Indicador</x:v>
      </x:c>
      <x:c r="B7" s="20" t="str">
        <x:v>Resultado</x:v>
      </x:c>
      <x:c r="C7" s="3"/>
      <x:c r="D7" s="3"/>
      <x:c r="E7" s="3"/>
      <x:c r="F7" s="3"/>
      <x:c r="G7" s="3"/>
      <x:c r="H7" s="3"/>
      <x:c r="I7" s="3"/>
      <x:c r="J7" s="3"/>
      <x:c r="K7" s="3"/>
      <x:c r="L7" s="3"/>
    </x:row>
    <x:row r="8" ht="29" customHeight="1">
      <x:c r="A8" s="3" t="str">
        <x:v>Contratos ativos na referência</x:v>
      </x:c>
      <x:c r="B8" s="22" t="n">
        <x:f>COUNTIFS(Contratos!$J$7:$J$56,"Ativo")</x:f>
        <x:v>0</x:v>
      </x:c>
      <x:c r="C8" s="3"/>
      <x:c r="D8" s="3"/>
      <x:c r="E8" s="3"/>
      <x:c r="F8" s="3"/>
      <x:c r="G8" s="3"/>
      <x:c r="H8" s="3"/>
      <x:c r="I8" s="3"/>
      <x:c r="J8" s="3"/>
      <x:c r="K8" s="3"/>
      <x:c r="L8" s="3"/>
    </x:row>
    <x:row r="9" ht="29" customHeight="1">
      <x:c r="A9" s="3" t="str">
        <x:v>Vagas contratadas ativas</x:v>
      </x:c>
      <x:c r="B9" s="22" t="n">
        <x:f>SUM(Contratos!$L$7:$L$56)</x:f>
        <x:v>0</x:v>
      </x:c>
      <x:c r="C9" s="3"/>
      <x:c r="D9" s="3"/>
      <x:c r="E9" s="3"/>
      <x:c r="F9" s="3"/>
      <x:c r="G9" s="3"/>
      <x:c r="H9" s="3"/>
      <x:c r="I9" s="3"/>
      <x:c r="J9" s="3"/>
      <x:c r="K9" s="3"/>
      <x:c r="L9" s="3"/>
    </x:row>
    <x:row r="10" ht="29" customHeight="1">
      <x:c r="A10" s="3" t="str">
        <x:v>Mensalidade contratada ativa</x:v>
      </x:c>
      <x:c r="B10" s="52" t="n">
        <x:f>SUM(Contratos!$M$7:$M$56)</x:f>
        <x:v>0</x:v>
      </x:c>
      <x:c r="C10" s="3"/>
      <x:c r="D10" s="3"/>
      <x:c r="E10" s="3"/>
      <x:c r="F10" s="3"/>
      <x:c r="G10" s="3"/>
      <x:c r="H10" s="3"/>
      <x:c r="I10" s="3"/>
      <x:c r="J10" s="3"/>
      <x:c r="K10" s="3"/>
      <x:c r="L10" s="3"/>
    </x:row>
    <x:row r="11" ht="29" customHeight="1">
      <x:c r="A11" s="3" t="str">
        <x:v>Contratos com vencimento próximo</x:v>
      </x:c>
      <x:c r="B11" s="22" t="n">
        <x:f>COUNTIFS(Contratos!$N$7:$N$56,"Vence no período de alerta")</x:f>
        <x:v>0</x:v>
      </x:c>
      <x:c r="C11" s="3"/>
      <x:c r="D11" s="3"/>
      <x:c r="E11" s="3"/>
      <x:c r="F11" s="3"/>
      <x:c r="G11" s="3"/>
      <x:c r="H11" s="3"/>
      <x:c r="I11" s="3"/>
      <x:c r="J11" s="3"/>
      <x:c r="K11" s="3"/>
      <x:c r="L11" s="3"/>
    </x:row>
    <x:row r="12" ht="29" customHeight="1">
      <x:c r="A12" s="3" t="str">
        <x:v>Cobranças da competência</x:v>
      </x:c>
      <x:c r="B12" s="52" t="n">
        <x:f>SUMIFS(Pagamentos!$L$7:$L$56,Pagamentos!$D$7:$D$56,Auxiliar!$B$5)</x:f>
        <x:v>0</x:v>
      </x:c>
      <x:c r="C12" s="3"/>
      <x:c r="D12" s="3"/>
      <x:c r="E12" s="3"/>
      <x:c r="F12" s="3"/>
      <x:c r="G12" s="3"/>
      <x:c r="H12" s="3"/>
      <x:c r="I12" s="3"/>
      <x:c r="J12" s="3"/>
      <x:c r="K12" s="3"/>
      <x:c r="L12" s="3"/>
    </x:row>
    <x:row r="13" ht="29" customHeight="1">
      <x:c r="A13" s="3" t="str">
        <x:v>Pago da competência</x:v>
      </x:c>
      <x:c r="B13" s="52" t="n">
        <x:f>SUMIFS(Pagamentos!$L$7:$L$56,Pagamentos!$D$7:$D$56,Auxiliar!$B$5,Pagamentos!$J$7:$J$56,"Pago")</x:f>
        <x:v>0</x:v>
      </x:c>
      <x:c r="C13" s="3"/>
      <x:c r="D13" s="3"/>
      <x:c r="E13" s="3"/>
      <x:c r="F13" s="3"/>
      <x:c r="G13" s="3"/>
      <x:c r="H13" s="3"/>
      <x:c r="I13" s="3"/>
      <x:c r="J13" s="3"/>
      <x:c r="K13" s="3"/>
      <x:c r="L13" s="3"/>
    </x:row>
    <x:row r="14" ht="29" customHeight="1">
      <x:c r="A14" s="3" t="str">
        <x:v>Em aberto da competência</x:v>
      </x:c>
      <x:c r="B14" s="52" t="n">
        <x:f>B12-B13</x:f>
        <x:v>0</x:v>
      </x:c>
      <x:c r="C14" s="3"/>
      <x:c r="D14" s="3"/>
      <x:c r="E14" s="3"/>
      <x:c r="F14" s="3"/>
      <x:c r="G14" s="3"/>
      <x:c r="H14" s="3"/>
      <x:c r="I14" s="3"/>
      <x:c r="J14" s="3"/>
      <x:c r="K14" s="3"/>
      <x:c r="L14" s="3"/>
    </x:row>
    <x:row r="15" ht="29" customHeight="1">
      <x:c r="A15" s="3" t="str">
        <x:v>Documentos pendentes da competência</x:v>
      </x:c>
      <x:c r="B15" s="22" t="n">
        <x:f>COUNTIFS(Pagamentos!$D$7:$D$56,Auxiliar!$B$5,Pagamentos!$M$7:$M$56,"Pendente")</x:f>
        <x:v>0</x:v>
      </x:c>
      <x:c r="C15" s="3"/>
      <x:c r="D15" s="3"/>
      <x:c r="E15" s="3"/>
      <x:c r="F15" s="3"/>
      <x:c r="G15" s="3"/>
      <x:c r="H15" s="3"/>
      <x:c r="I15" s="3"/>
      <x:c r="J15" s="3"/>
      <x:c r="K15" s="3"/>
      <x:c r="L15" s="3"/>
    </x:row>
    <x:row r="16" ht="29" customHeight="1">
      <x:c r="A16" s="3" t="str">
        <x:v>Linhas de contrato a conferir</x:v>
      </x:c>
      <x:c r="B16" s="22" t="n">
        <x:f>SUMPRODUCT((Contratos!$O$7:$O$56&lt;&gt;"")*(Contratos!$O$7:$O$56&lt;&gt;"Válido"))</x:f>
        <x:v>0</x:v>
      </x:c>
      <x:c r="C16" s="3"/>
      <x:c r="D16" s="3"/>
      <x:c r="E16" s="3"/>
      <x:c r="F16" s="3"/>
      <x:c r="G16" s="3"/>
      <x:c r="H16" s="3"/>
      <x:c r="I16" s="3"/>
      <x:c r="J16" s="3"/>
      <x:c r="K16" s="3"/>
      <x:c r="L16" s="3"/>
    </x:row>
    <x:row r="17" ht="29" customHeight="1">
      <x:c r="A17" s="3" t="str">
        <x:v>Linhas de pagamento a conferir</x:v>
      </x:c>
      <x:c r="B17" s="22" t="n">
        <x:f>SUMPRODUCT((Pagamentos!$K$7:$K$56&lt;&gt;"")*(Pagamentos!$K$7:$K$56&lt;&gt;"Válido"))+COUNTIFS(Pagamentos!$J$7:$J$56,"Conferir data futura")</x:f>
        <x:v>0</x:v>
      </x:c>
      <x:c r="C17" s="3"/>
      <x:c r="D17" s="3"/>
      <x:c r="E17" s="3"/>
      <x:c r="F17" s="3"/>
      <x:c r="G17" s="3"/>
      <x:c r="H17" s="3"/>
      <x:c r="I17" s="3"/>
      <x:c r="J17" s="3"/>
      <x:c r="K17" s="3"/>
      <x:c r="L17" s="3"/>
    </x:row>
    <x:row r="18" ht="25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</x:row>
    <x:row r="19" ht="46" customHeight="1">
      <x:c r="A19" s="18" t="str">
        <x:v>Cobranças da competência</x:v>
      </x:c>
      <x:c r="B19" s="20" t="str">
        <x:v>Valor (R$)</x:v>
      </x:c>
      <x:c r="C19" s="3"/>
      <x:c r="D19" s="3"/>
      <x:c r="E19" s="3"/>
      <x:c r="F19" s="3"/>
      <x:c r="G19" s="3"/>
      <x:c r="H19" s="3"/>
      <x:c r="I19" s="3"/>
      <x:c r="J19" s="3"/>
      <x:c r="K19" s="3"/>
      <x:c r="L19" s="3"/>
    </x:row>
    <x:row r="20" ht="25" customHeight="1">
      <x:c r="A20" s="3" t="str">
        <x:v>Pago</x:v>
      </x:c>
      <x:c r="B20" s="53" t="n">
        <x:f>B13</x:f>
        <x:v>0</x:v>
      </x:c>
      <x:c r="C20" s="3"/>
      <x:c r="D20" s="3"/>
      <x:c r="E20" s="3"/>
      <x:c r="F20" s="3"/>
      <x:c r="G20" s="3"/>
      <x:c r="H20" s="3"/>
      <x:c r="I20" s="3"/>
      <x:c r="J20" s="3"/>
      <x:c r="K20" s="3"/>
      <x:c r="L20" s="3"/>
    </x:row>
    <x:row r="21" ht="25" customHeight="1">
      <x:c r="A21" s="3" t="str">
        <x:v>Em aberto</x:v>
      </x:c>
      <x:c r="B21" s="53" t="n">
        <x:f>B14</x:f>
        <x:v>0</x:v>
      </x:c>
      <x:c r="C21" s="3"/>
      <x:c r="D21" s="3"/>
      <x:c r="E21" s="3"/>
      <x:c r="F21" s="3"/>
      <x:c r="G21" s="3"/>
      <x:c r="H21" s="3"/>
      <x:c r="I21" s="3"/>
      <x:c r="J21" s="3"/>
      <x:c r="K21" s="3"/>
      <x:c r="L21" s="3"/>
    </x:row>
    <x:row r="22" ht="25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</x:row>
    <x:row r="23" ht="25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</x:row>
    <x:row r="24" ht="25" customHeight="1">
      <x:c r="A24" s="3" t="str">
        <x:v>Como começar</x:v>
      </x:c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</x:row>
    <x:row r="25" ht="25" customHeight="1">
      <x:c r="A25" s="3" t="str">
        <x:v>1. Cadastre os contratos e confira vagas, tarifa e vigência.</x:v>
      </x:c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</x:row>
    <x:row r="26" ht="25" customHeight="1">
      <x:c r="A26" s="3" t="str">
        <x:v>2. Lance as cobranças por competência em Pagamentos.</x:v>
      </x:c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</x:row>
    <x:row r="27" ht="25" customHeight="1">
      <x:c r="A27" s="3" t="str">
        <x:v>3. Confira documentos e informe a data do pagamento.</x:v>
      </x:c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</x:row>
    <x:row r="28" ht="25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</x:row>
    <x:row r="29" ht="25" customHeight="1">
      <x:c r="A29" s="21" t="str">
        <x:v>Mensalidade ativa é compromisso contratual. Cobranças e pagamentos são lançamentos separados.</x:v>
      </x:c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</x:row>
    <x:row r="30" ht="25" customHeight="1">
      <x:c r="A30" s="21" t="str">
        <x:v>O total pago considera a competência selecionada e pagamentos realizados até a data de referência.</x:v>
      </x:c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</x:row>
    <x:row r="31" ht="25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</x:row>
    <x:row r="32" ht="25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</x:row>
    <x:row r="33" ht="25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</x:row>
    <x:row r="34" ht="25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</x:row>
    <x:row r="35" ht="25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</x:row>
    <x:row r="36" ht="25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</x:row>
    <x:row r="37" ht="25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</x:row>
    <x:row r="38" ht="25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</x:row>
    <x:row r="39" ht="25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</x:row>
    <x:row r="40" ht="25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</x:row>
    <x:row r="41" ht="25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</x:row>
    <x:row r="42" ht="25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</x:row>
    <x:row r="43" ht="25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</x:row>
    <x:row r="44" ht="25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</x:row>
    <x:row r="45" ht="25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</x:row>
    <x:row r="46" ht="25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</x:row>
    <x:row r="47" ht="25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</x:row>
    <x:row r="48" ht="25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</x:row>
    <x:row r="49" ht="25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</x:row>
    <x:row r="50" ht="25" customHeight="1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</x:row>
    <x:row r="51" ht="25" customHeight="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</x:row>
    <x:row r="52" ht="25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</x:row>
    <x:row r="53" ht="25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</x:row>
    <x:row r="54" ht="25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</x:row>
    <x:row r="55" ht="25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</x:row>
    <x:row r="56" ht="25" customHeight="1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</x:row>
    <x:row r="57" ht="25" customHeight="1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</x:row>
    <x:row r="58" ht="25" customHeight="1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</x:row>
  </x:sheetData>
  <x:pageMargins left="0.7" right="0.7" top="0.75" bottom="0.75" header="0.3" footer="0.3"/>
  <x:drawing xmlns:r="http://schemas.openxmlformats.org/officeDocument/2006/relationships" r:id="R45f7eafc40d44b18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6" hidden="0" customWidth="1"/>
    <x:col min="2" max="2" width="45" hidden="0" customWidth="1"/>
    <x:col min="3" max="3" width="29" hidden="0" customWidth="1"/>
    <x:col min="4" max="4" width="16" hidden="0" customWidth="1"/>
    <x:col min="5" max="5" width="16" hidden="0" customWidth="1"/>
    <x:col min="6" max="6" width="22" hidden="0" customWidth="1"/>
    <x:col min="7" max="7" width="19" hidden="0" customWidth="1"/>
    <x:col min="8" max="8" width="23" hidden="0" customWidth="1"/>
    <x:col min="9" max="9" width="23" hidden="0" customWidth="1"/>
    <x:col min="10" max="10" width="27" hidden="0" customWidth="1"/>
    <x:col min="11" max="11" width="18" hidden="0" customWidth="1"/>
    <x:col min="12" max="12" width="17" hidden="0" customWidth="1"/>
    <x:col min="13" max="13" width="23" hidden="0" customWidth="1"/>
    <x:col min="14" max="14" width="25" hidden="0" customWidth="1"/>
    <x:col min="15" max="15" width="29" hidden="0" customWidth="1"/>
  </x:cols>
  <x:sheetData>
    <x:row r="1" ht="12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2" customHeight="1">
      <x:c r="A2" s="4" t="str">
        <x:v>Contratos de estacionamento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</x:row>
    <x:row r="3" ht="25" customHeight="1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</x:row>
    <x:row r="4" ht="25" customHeight="1">
      <x:c r="A4" s="21" t="str">
        <x:v>Preencha A:H. A mensalidade de referência é o número de vagas contratado multiplicado pela tarifa por vaga.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</x:row>
    <x:row r="5" ht="25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</x:row>
    <x:row r="6" ht="46" customHeight="1">
      <x:c r="A6" s="18" t="str">
        <x:v>Contrato</x:v>
      </x:c>
      <x:c r="B6" s="19" t="str">
        <x:v>Objeto</x:v>
      </x:c>
      <x:c r="C6" s="19" t="str">
        <x:v>Fornecedor</x:v>
      </x:c>
      <x:c r="D6" s="19" t="str">
        <x:v>Início</x:v>
      </x:c>
      <x:c r="E6" s="19" t="str">
        <x:v>Fim</x:v>
      </x:c>
      <x:c r="F6" s="19" t="str">
        <x:v>Situação cadastral</x:v>
      </x:c>
      <x:c r="G6" s="19" t="str">
        <x:v>Vagas contratadas</x:v>
      </x:c>
      <x:c r="H6" s="19" t="str">
        <x:v>Tarifa mensal por vaga (R$)</x:v>
      </x:c>
      <x:c r="I6" s="19" t="str">
        <x:v>Mensalidade contratada (R$)</x:v>
      </x:c>
      <x:c r="J6" s="19" t="str">
        <x:v>Situação na referência</x:v>
      </x:c>
      <x:c r="K6" s="19" t="str">
        <x:v>Dias até o fim</x:v>
      </x:c>
      <x:c r="L6" s="19" t="str">
        <x:v>Vagas ativas</x:v>
      </x:c>
      <x:c r="M6" s="19" t="str">
        <x:v>Mensalidade ativa (R$)</x:v>
      </x:c>
      <x:c r="N6" s="19" t="str">
        <x:v>Vencimento próximo</x:v>
      </x:c>
      <x:c r="O6" s="20" t="str">
        <x:v>Conferência</x:v>
      </x:c>
    </x:row>
    <x:row r="7" ht="42" customHeight="1">
      <x:c r="A7" s="23"/>
      <x:c r="B7" s="29"/>
      <x:c r="C7" s="29"/>
      <x:c r="D7" s="35"/>
      <x:c r="E7" s="35"/>
      <x:c r="F7" s="54"/>
      <x:c r="G7" s="38"/>
      <x:c r="H7" s="41"/>
      <x:c r="I7" s="42" t="str">
        <x:f>IF(O7="Válido",ROUND(G7*H7,2),"")</x:f>
      </x:c>
      <x:c r="J7" s="55" t="str">
        <x:f>IF(O7="","",IF(O7&lt;&gt;"Válido","Conferir cadastro",IF(F7="Encerrado","Encerrado",IF(E7&lt;Auxiliar!$B$4,"Prazo encerrado",IF(D7&gt;Auxiliar!$B$4,"A iniciar",IF(F7="Suspenso","Suspenso","Ativo"))))))</x:f>
      </x:c>
      <x:c r="K7" s="24" t="str">
        <x:f>IF(O7="Válido",E7-Auxiliar!$B$4,"")</x:f>
      </x:c>
      <x:c r="L7" s="24" t="str">
        <x:f>IF(J7="","",IF(J7="Ativo",G7,0))</x:f>
      </x:c>
      <x:c r="M7" s="42" t="str">
        <x:f>IF(J7="","",IF(J7="Ativo",I7,0))</x:f>
      </x:c>
      <x:c r="N7" s="24" t="str">
        <x:f>IF(J7="","",IF(AND(J7="Ativo",K7&gt;=0,K7&lt;=Auxiliar!$B$8),"Vence no período de alerta",IF(J7="Conferir cadastro","Conferir cadastro","")))</x:f>
      </x:c>
      <x:c r="O7" s="24" t="str">
        <x:f>IF(COUNTA(A7:H7)=0,"",IF(A7="","Informe ID",IF(COUNTIFS($A$7:$A$56,A7)&lt;&gt;1,"Duplicado: contrato",IF(OR(B7="",C7=""),"Informe objeto e fornecedor",IF(OR(NOT(ISNUMBER(D7)),NOT(ISNUMBER(E7)),D7&lt;DATE(2000,1,1),E7&gt;DATE(2100,12,31),E7&lt;D7),"Conferir datas",IF(AND(F7&lt;&gt;"Ativo",F7&lt;&gt;"Suspenso",F7&lt;&gt;"Encerrado"),"Conferir situação",IF(IF(ISNUMBER(G7),OR(G7&lt;=0,MOD(G7,1)&lt;&gt;0),TRUE),"Conferir vagas",IF(OR(NOT(ISNUMBER(H7)),H7&lt;0),"Conferir tarifa","Válido"))))))))</x:f>
      </x:c>
    </x:row>
    <x:row r="8" ht="42" customHeight="1">
      <x:c r="A8" s="25"/>
      <x:c r="B8" s="30"/>
      <x:c r="C8" s="30"/>
      <x:c r="D8" s="36"/>
      <x:c r="E8" s="36"/>
      <x:c r="F8" s="56"/>
      <x:c r="G8" s="39"/>
      <x:c r="H8" s="43"/>
      <x:c r="I8" s="44" t="str">
        <x:f>IF(O8="Válido",ROUND(G8*H8,2),"")</x:f>
      </x:c>
      <x:c r="J8" s="57" t="str">
        <x:f>IF(O8="","",IF(O8&lt;&gt;"Válido","Conferir cadastro",IF(F8="Encerrado","Encerrado",IF(E8&lt;Auxiliar!$B$4,"Prazo encerrado",IF(D8&gt;Auxiliar!$B$4,"A iniciar",IF(F8="Suspenso","Suspenso","Ativo"))))))</x:f>
      </x:c>
      <x:c r="K8" s="26" t="str">
        <x:f>IF(O8="Válido",E8-Auxiliar!$B$4,"")</x:f>
      </x:c>
      <x:c r="L8" s="26" t="str">
        <x:f>IF(J8="","",IF(J8="Ativo",G8,0))</x:f>
      </x:c>
      <x:c r="M8" s="44" t="str">
        <x:f>IF(J8="","",IF(J8="Ativo",I8,0))</x:f>
      </x:c>
      <x:c r="N8" s="26" t="str">
        <x:f>IF(J8="","",IF(AND(J8="Ativo",K8&gt;=0,K8&lt;=Auxiliar!$B$8),"Vence no período de alerta",IF(J8="Conferir cadastro","Conferir cadastro","")))</x:f>
      </x:c>
      <x:c r="O8" s="26" t="str">
        <x:f>IF(COUNTA(A8:H8)=0,"",IF(A8="","Informe ID",IF(COUNTIFS($A$7:$A$56,A8)&lt;&gt;1,"Duplicado: contrato",IF(OR(B8="",C8=""),"Informe objeto e fornecedor",IF(OR(NOT(ISNUMBER(D8)),NOT(ISNUMBER(E8)),D8&lt;DATE(2000,1,1),E8&gt;DATE(2100,12,31),E8&lt;D8),"Conferir datas",IF(AND(F8&lt;&gt;"Ativo",F8&lt;&gt;"Suspenso",F8&lt;&gt;"Encerrado"),"Conferir situação",IF(IF(ISNUMBER(G8),OR(G8&lt;=0,MOD(G8,1)&lt;&gt;0),TRUE),"Conferir vagas",IF(OR(NOT(ISNUMBER(H8)),H8&lt;0),"Conferir tarifa","Válido"))))))))</x:f>
      </x:c>
    </x:row>
    <x:row r="9" ht="42" customHeight="1">
      <x:c r="A9" s="25"/>
      <x:c r="B9" s="30"/>
      <x:c r="C9" s="30"/>
      <x:c r="D9" s="36"/>
      <x:c r="E9" s="36"/>
      <x:c r="F9" s="56"/>
      <x:c r="G9" s="39"/>
      <x:c r="H9" s="43"/>
      <x:c r="I9" s="44" t="str">
        <x:f>IF(O9="Válido",ROUND(G9*H9,2),"")</x:f>
      </x:c>
      <x:c r="J9" s="57" t="str">
        <x:f>IF(O9="","",IF(O9&lt;&gt;"Válido","Conferir cadastro",IF(F9="Encerrado","Encerrado",IF(E9&lt;Auxiliar!$B$4,"Prazo encerrado",IF(D9&gt;Auxiliar!$B$4,"A iniciar",IF(F9="Suspenso","Suspenso","Ativo"))))))</x:f>
      </x:c>
      <x:c r="K9" s="26" t="str">
        <x:f>IF(O9="Válido",E9-Auxiliar!$B$4,"")</x:f>
      </x:c>
      <x:c r="L9" s="26" t="str">
        <x:f>IF(J9="","",IF(J9="Ativo",G9,0))</x:f>
      </x:c>
      <x:c r="M9" s="44" t="str">
        <x:f>IF(J9="","",IF(J9="Ativo",I9,0))</x:f>
      </x:c>
      <x:c r="N9" s="26" t="str">
        <x:f>IF(J9="","",IF(AND(J9="Ativo",K9&gt;=0,K9&lt;=Auxiliar!$B$8),"Vence no período de alerta",IF(J9="Conferir cadastro","Conferir cadastro","")))</x:f>
      </x:c>
      <x:c r="O9" s="26" t="str">
        <x:f>IF(COUNTA(A9:H9)=0,"",IF(A9="","Informe ID",IF(COUNTIFS($A$7:$A$56,A9)&lt;&gt;1,"Duplicado: contrato",IF(OR(B9="",C9=""),"Informe objeto e fornecedor",IF(OR(NOT(ISNUMBER(D9)),NOT(ISNUMBER(E9)),D9&lt;DATE(2000,1,1),E9&gt;DATE(2100,12,31),E9&lt;D9),"Conferir datas",IF(AND(F9&lt;&gt;"Ativo",F9&lt;&gt;"Suspenso",F9&lt;&gt;"Encerrado"),"Conferir situação",IF(IF(ISNUMBER(G9),OR(G9&lt;=0,MOD(G9,1)&lt;&gt;0),TRUE),"Conferir vagas",IF(OR(NOT(ISNUMBER(H9)),H9&lt;0),"Conferir tarifa","Válido"))))))))</x:f>
      </x:c>
    </x:row>
    <x:row r="10" ht="42" customHeight="1">
      <x:c r="A10" s="25"/>
      <x:c r="B10" s="30"/>
      <x:c r="C10" s="30"/>
      <x:c r="D10" s="36"/>
      <x:c r="E10" s="36"/>
      <x:c r="F10" s="56"/>
      <x:c r="G10" s="39"/>
      <x:c r="H10" s="43"/>
      <x:c r="I10" s="44" t="str">
        <x:f>IF(O10="Válido",ROUND(G10*H10,2),"")</x:f>
      </x:c>
      <x:c r="J10" s="57" t="str">
        <x:f>IF(O10="","",IF(O10&lt;&gt;"Válido","Conferir cadastro",IF(F10="Encerrado","Encerrado",IF(E10&lt;Auxiliar!$B$4,"Prazo encerrado",IF(D10&gt;Auxiliar!$B$4,"A iniciar",IF(F10="Suspenso","Suspenso","Ativo"))))))</x:f>
      </x:c>
      <x:c r="K10" s="26" t="str">
        <x:f>IF(O10="Válido",E10-Auxiliar!$B$4,"")</x:f>
      </x:c>
      <x:c r="L10" s="26" t="str">
        <x:f>IF(J10="","",IF(J10="Ativo",G10,0))</x:f>
      </x:c>
      <x:c r="M10" s="44" t="str">
        <x:f>IF(J10="","",IF(J10="Ativo",I10,0))</x:f>
      </x:c>
      <x:c r="N10" s="26" t="str">
        <x:f>IF(J10="","",IF(AND(J10="Ativo",K10&gt;=0,K10&lt;=Auxiliar!$B$8),"Vence no período de alerta",IF(J10="Conferir cadastro","Conferir cadastro","")))</x:f>
      </x:c>
      <x:c r="O10" s="26" t="str">
        <x:f>IF(COUNTA(A10:H10)=0,"",IF(A10="","Informe ID",IF(COUNTIFS($A$7:$A$56,A10)&lt;&gt;1,"Duplicado: contrato",IF(OR(B10="",C10=""),"Informe objeto e fornecedor",IF(OR(NOT(ISNUMBER(D10)),NOT(ISNUMBER(E10)),D10&lt;DATE(2000,1,1),E10&gt;DATE(2100,12,31),E10&lt;D10),"Conferir datas",IF(AND(F10&lt;&gt;"Ativo",F10&lt;&gt;"Suspenso",F10&lt;&gt;"Encerrado"),"Conferir situação",IF(IF(ISNUMBER(G10),OR(G10&lt;=0,MOD(G10,1)&lt;&gt;0),TRUE),"Conferir vagas",IF(OR(NOT(ISNUMBER(H10)),H10&lt;0),"Conferir tarifa","Válido"))))))))</x:f>
      </x:c>
    </x:row>
    <x:row r="11" ht="42" customHeight="1">
      <x:c r="A11" s="25"/>
      <x:c r="B11" s="30"/>
      <x:c r="C11" s="30"/>
      <x:c r="D11" s="36"/>
      <x:c r="E11" s="36"/>
      <x:c r="F11" s="56"/>
      <x:c r="G11" s="39"/>
      <x:c r="H11" s="43"/>
      <x:c r="I11" s="44" t="str">
        <x:f>IF(O11="Válido",ROUND(G11*H11,2),"")</x:f>
      </x:c>
      <x:c r="J11" s="57" t="str">
        <x:f>IF(O11="","",IF(O11&lt;&gt;"Válido","Conferir cadastro",IF(F11="Encerrado","Encerrado",IF(E11&lt;Auxiliar!$B$4,"Prazo encerrado",IF(D11&gt;Auxiliar!$B$4,"A iniciar",IF(F11="Suspenso","Suspenso","Ativo"))))))</x:f>
      </x:c>
      <x:c r="K11" s="26" t="str">
        <x:f>IF(O11="Válido",E11-Auxiliar!$B$4,"")</x:f>
      </x:c>
      <x:c r="L11" s="26" t="str">
        <x:f>IF(J11="","",IF(J11="Ativo",G11,0))</x:f>
      </x:c>
      <x:c r="M11" s="44" t="str">
        <x:f>IF(J11="","",IF(J11="Ativo",I11,0))</x:f>
      </x:c>
      <x:c r="N11" s="26" t="str">
        <x:f>IF(J11="","",IF(AND(J11="Ativo",K11&gt;=0,K11&lt;=Auxiliar!$B$8),"Vence no período de alerta",IF(J11="Conferir cadastro","Conferir cadastro","")))</x:f>
      </x:c>
      <x:c r="O11" s="26" t="str">
        <x:f>IF(COUNTA(A11:H11)=0,"",IF(A11="","Informe ID",IF(COUNTIFS($A$7:$A$56,A11)&lt;&gt;1,"Duplicado: contrato",IF(OR(B11="",C11=""),"Informe objeto e fornecedor",IF(OR(NOT(ISNUMBER(D11)),NOT(ISNUMBER(E11)),D11&lt;DATE(2000,1,1),E11&gt;DATE(2100,12,31),E11&lt;D11),"Conferir datas",IF(AND(F11&lt;&gt;"Ativo",F11&lt;&gt;"Suspenso",F11&lt;&gt;"Encerrado"),"Conferir situação",IF(IF(ISNUMBER(G11),OR(G11&lt;=0,MOD(G11,1)&lt;&gt;0),TRUE),"Conferir vagas",IF(OR(NOT(ISNUMBER(H11)),H11&lt;0),"Conferir tarifa","Válido"))))))))</x:f>
      </x:c>
    </x:row>
    <x:row r="12" ht="42" customHeight="1">
      <x:c r="A12" s="25"/>
      <x:c r="B12" s="30"/>
      <x:c r="C12" s="30"/>
      <x:c r="D12" s="36"/>
      <x:c r="E12" s="36"/>
      <x:c r="F12" s="56"/>
      <x:c r="G12" s="39"/>
      <x:c r="H12" s="43"/>
      <x:c r="I12" s="44" t="str">
        <x:f>IF(O12="Válido",ROUND(G12*H12,2),"")</x:f>
      </x:c>
      <x:c r="J12" s="57" t="str">
        <x:f>IF(O12="","",IF(O12&lt;&gt;"Válido","Conferir cadastro",IF(F12="Encerrado","Encerrado",IF(E12&lt;Auxiliar!$B$4,"Prazo encerrado",IF(D12&gt;Auxiliar!$B$4,"A iniciar",IF(F12="Suspenso","Suspenso","Ativo"))))))</x:f>
      </x:c>
      <x:c r="K12" s="26" t="str">
        <x:f>IF(O12="Válido",E12-Auxiliar!$B$4,"")</x:f>
      </x:c>
      <x:c r="L12" s="26" t="str">
        <x:f>IF(J12="","",IF(J12="Ativo",G12,0))</x:f>
      </x:c>
      <x:c r="M12" s="44" t="str">
        <x:f>IF(J12="","",IF(J12="Ativo",I12,0))</x:f>
      </x:c>
      <x:c r="N12" s="26" t="str">
        <x:f>IF(J12="","",IF(AND(J12="Ativo",K12&gt;=0,K12&lt;=Auxiliar!$B$8),"Vence no período de alerta",IF(J12="Conferir cadastro","Conferir cadastro","")))</x:f>
      </x:c>
      <x:c r="O12" s="26" t="str">
        <x:f>IF(COUNTA(A12:H12)=0,"",IF(A12="","Informe ID",IF(COUNTIFS($A$7:$A$56,A12)&lt;&gt;1,"Duplicado: contrato",IF(OR(B12="",C12=""),"Informe objeto e fornecedor",IF(OR(NOT(ISNUMBER(D12)),NOT(ISNUMBER(E12)),D12&lt;DATE(2000,1,1),E12&gt;DATE(2100,12,31),E12&lt;D12),"Conferir datas",IF(AND(F12&lt;&gt;"Ativo",F12&lt;&gt;"Suspenso",F12&lt;&gt;"Encerrado"),"Conferir situação",IF(IF(ISNUMBER(G12),OR(G12&lt;=0,MOD(G12,1)&lt;&gt;0),TRUE),"Conferir vagas",IF(OR(NOT(ISNUMBER(H12)),H12&lt;0),"Conferir tarifa","Válido"))))))))</x:f>
      </x:c>
    </x:row>
    <x:row r="13" ht="42" customHeight="1">
      <x:c r="A13" s="25"/>
      <x:c r="B13" s="30"/>
      <x:c r="C13" s="30"/>
      <x:c r="D13" s="36"/>
      <x:c r="E13" s="36"/>
      <x:c r="F13" s="56"/>
      <x:c r="G13" s="39"/>
      <x:c r="H13" s="43"/>
      <x:c r="I13" s="44" t="str">
        <x:f>IF(O13="Válido",ROUND(G13*H13,2),"")</x:f>
      </x:c>
      <x:c r="J13" s="57" t="str">
        <x:f>IF(O13="","",IF(O13&lt;&gt;"Válido","Conferir cadastro",IF(F13="Encerrado","Encerrado",IF(E13&lt;Auxiliar!$B$4,"Prazo encerrado",IF(D13&gt;Auxiliar!$B$4,"A iniciar",IF(F13="Suspenso","Suspenso","Ativo"))))))</x:f>
      </x:c>
      <x:c r="K13" s="26" t="str">
        <x:f>IF(O13="Válido",E13-Auxiliar!$B$4,"")</x:f>
      </x:c>
      <x:c r="L13" s="26" t="str">
        <x:f>IF(J13="","",IF(J13="Ativo",G13,0))</x:f>
      </x:c>
      <x:c r="M13" s="44" t="str">
        <x:f>IF(J13="","",IF(J13="Ativo",I13,0))</x:f>
      </x:c>
      <x:c r="N13" s="26" t="str">
        <x:f>IF(J13="","",IF(AND(J13="Ativo",K13&gt;=0,K13&lt;=Auxiliar!$B$8),"Vence no período de alerta",IF(J13="Conferir cadastro","Conferir cadastro","")))</x:f>
      </x:c>
      <x:c r="O13" s="26" t="str">
        <x:f>IF(COUNTA(A13:H13)=0,"",IF(A13="","Informe ID",IF(COUNTIFS($A$7:$A$56,A13)&lt;&gt;1,"Duplicado: contrato",IF(OR(B13="",C13=""),"Informe objeto e fornecedor",IF(OR(NOT(ISNUMBER(D13)),NOT(ISNUMBER(E13)),D13&lt;DATE(2000,1,1),E13&gt;DATE(2100,12,31),E13&lt;D13),"Conferir datas",IF(AND(F13&lt;&gt;"Ativo",F13&lt;&gt;"Suspenso",F13&lt;&gt;"Encerrado"),"Conferir situação",IF(IF(ISNUMBER(G13),OR(G13&lt;=0,MOD(G13,1)&lt;&gt;0),TRUE),"Conferir vagas",IF(OR(NOT(ISNUMBER(H13)),H13&lt;0),"Conferir tarifa","Válido"))))))))</x:f>
      </x:c>
    </x:row>
    <x:row r="14" ht="42" customHeight="1">
      <x:c r="A14" s="25"/>
      <x:c r="B14" s="30"/>
      <x:c r="C14" s="30"/>
      <x:c r="D14" s="36"/>
      <x:c r="E14" s="36"/>
      <x:c r="F14" s="56"/>
      <x:c r="G14" s="39"/>
      <x:c r="H14" s="43"/>
      <x:c r="I14" s="44" t="str">
        <x:f>IF(O14="Válido",ROUND(G14*H14,2),"")</x:f>
      </x:c>
      <x:c r="J14" s="57" t="str">
        <x:f>IF(O14="","",IF(O14&lt;&gt;"Válido","Conferir cadastro",IF(F14="Encerrado","Encerrado",IF(E14&lt;Auxiliar!$B$4,"Prazo encerrado",IF(D14&gt;Auxiliar!$B$4,"A iniciar",IF(F14="Suspenso","Suspenso","Ativo"))))))</x:f>
      </x:c>
      <x:c r="K14" s="26" t="str">
        <x:f>IF(O14="Válido",E14-Auxiliar!$B$4,"")</x:f>
      </x:c>
      <x:c r="L14" s="26" t="str">
        <x:f>IF(J14="","",IF(J14="Ativo",G14,0))</x:f>
      </x:c>
      <x:c r="M14" s="44" t="str">
        <x:f>IF(J14="","",IF(J14="Ativo",I14,0))</x:f>
      </x:c>
      <x:c r="N14" s="26" t="str">
        <x:f>IF(J14="","",IF(AND(J14="Ativo",K14&gt;=0,K14&lt;=Auxiliar!$B$8),"Vence no período de alerta",IF(J14="Conferir cadastro","Conferir cadastro","")))</x:f>
      </x:c>
      <x:c r="O14" s="26" t="str">
        <x:f>IF(COUNTA(A14:H14)=0,"",IF(A14="","Informe ID",IF(COUNTIFS($A$7:$A$56,A14)&lt;&gt;1,"Duplicado: contrato",IF(OR(B14="",C14=""),"Informe objeto e fornecedor",IF(OR(NOT(ISNUMBER(D14)),NOT(ISNUMBER(E14)),D14&lt;DATE(2000,1,1),E14&gt;DATE(2100,12,31),E14&lt;D14),"Conferir datas",IF(AND(F14&lt;&gt;"Ativo",F14&lt;&gt;"Suspenso",F14&lt;&gt;"Encerrado"),"Conferir situação",IF(IF(ISNUMBER(G14),OR(G14&lt;=0,MOD(G14,1)&lt;&gt;0),TRUE),"Conferir vagas",IF(OR(NOT(ISNUMBER(H14)),H14&lt;0),"Conferir tarifa","Válido"))))))))</x:f>
      </x:c>
    </x:row>
    <x:row r="15" ht="42" customHeight="1">
      <x:c r="A15" s="25"/>
      <x:c r="B15" s="30"/>
      <x:c r="C15" s="30"/>
      <x:c r="D15" s="36"/>
      <x:c r="E15" s="36"/>
      <x:c r="F15" s="56"/>
      <x:c r="G15" s="39"/>
      <x:c r="H15" s="43"/>
      <x:c r="I15" s="44" t="str">
        <x:f>IF(O15="Válido",ROUND(G15*H15,2),"")</x:f>
      </x:c>
      <x:c r="J15" s="57" t="str">
        <x:f>IF(O15="","",IF(O15&lt;&gt;"Válido","Conferir cadastro",IF(F15="Encerrado","Encerrado",IF(E15&lt;Auxiliar!$B$4,"Prazo encerrado",IF(D15&gt;Auxiliar!$B$4,"A iniciar",IF(F15="Suspenso","Suspenso","Ativo"))))))</x:f>
      </x:c>
      <x:c r="K15" s="26" t="str">
        <x:f>IF(O15="Válido",E15-Auxiliar!$B$4,"")</x:f>
      </x:c>
      <x:c r="L15" s="26" t="str">
        <x:f>IF(J15="","",IF(J15="Ativo",G15,0))</x:f>
      </x:c>
      <x:c r="M15" s="44" t="str">
        <x:f>IF(J15="","",IF(J15="Ativo",I15,0))</x:f>
      </x:c>
      <x:c r="N15" s="26" t="str">
        <x:f>IF(J15="","",IF(AND(J15="Ativo",K15&gt;=0,K15&lt;=Auxiliar!$B$8),"Vence no período de alerta",IF(J15="Conferir cadastro","Conferir cadastro","")))</x:f>
      </x:c>
      <x:c r="O15" s="26" t="str">
        <x:f>IF(COUNTA(A15:H15)=0,"",IF(A15="","Informe ID",IF(COUNTIFS($A$7:$A$56,A15)&lt;&gt;1,"Duplicado: contrato",IF(OR(B15="",C15=""),"Informe objeto e fornecedor",IF(OR(NOT(ISNUMBER(D15)),NOT(ISNUMBER(E15)),D15&lt;DATE(2000,1,1),E15&gt;DATE(2100,12,31),E15&lt;D15),"Conferir datas",IF(AND(F15&lt;&gt;"Ativo",F15&lt;&gt;"Suspenso",F15&lt;&gt;"Encerrado"),"Conferir situação",IF(IF(ISNUMBER(G15),OR(G15&lt;=0,MOD(G15,1)&lt;&gt;0),TRUE),"Conferir vagas",IF(OR(NOT(ISNUMBER(H15)),H15&lt;0),"Conferir tarifa","Válido"))))))))</x:f>
      </x:c>
    </x:row>
    <x:row r="16" ht="42" customHeight="1">
      <x:c r="A16" s="25"/>
      <x:c r="B16" s="30"/>
      <x:c r="C16" s="30"/>
      <x:c r="D16" s="36"/>
      <x:c r="E16" s="36"/>
      <x:c r="F16" s="56"/>
      <x:c r="G16" s="39"/>
      <x:c r="H16" s="43"/>
      <x:c r="I16" s="44" t="str">
        <x:f>IF(O16="Válido",ROUND(G16*H16,2),"")</x:f>
      </x:c>
      <x:c r="J16" s="57" t="str">
        <x:f>IF(O16="","",IF(O16&lt;&gt;"Válido","Conferir cadastro",IF(F16="Encerrado","Encerrado",IF(E16&lt;Auxiliar!$B$4,"Prazo encerrado",IF(D16&gt;Auxiliar!$B$4,"A iniciar",IF(F16="Suspenso","Suspenso","Ativo"))))))</x:f>
      </x:c>
      <x:c r="K16" s="26" t="str">
        <x:f>IF(O16="Válido",E16-Auxiliar!$B$4,"")</x:f>
      </x:c>
      <x:c r="L16" s="26" t="str">
        <x:f>IF(J16="","",IF(J16="Ativo",G16,0))</x:f>
      </x:c>
      <x:c r="M16" s="44" t="str">
        <x:f>IF(J16="","",IF(J16="Ativo",I16,0))</x:f>
      </x:c>
      <x:c r="N16" s="26" t="str">
        <x:f>IF(J16="","",IF(AND(J16="Ativo",K16&gt;=0,K16&lt;=Auxiliar!$B$8),"Vence no período de alerta",IF(J16="Conferir cadastro","Conferir cadastro","")))</x:f>
      </x:c>
      <x:c r="O16" s="26" t="str">
        <x:f>IF(COUNTA(A16:H16)=0,"",IF(A16="","Informe ID",IF(COUNTIFS($A$7:$A$56,A16)&lt;&gt;1,"Duplicado: contrato",IF(OR(B16="",C16=""),"Informe objeto e fornecedor",IF(OR(NOT(ISNUMBER(D16)),NOT(ISNUMBER(E16)),D16&lt;DATE(2000,1,1),E16&gt;DATE(2100,12,31),E16&lt;D16),"Conferir datas",IF(AND(F16&lt;&gt;"Ativo",F16&lt;&gt;"Suspenso",F16&lt;&gt;"Encerrado"),"Conferir situação",IF(IF(ISNUMBER(G16),OR(G16&lt;=0,MOD(G16,1)&lt;&gt;0),TRUE),"Conferir vagas",IF(OR(NOT(ISNUMBER(H16)),H16&lt;0),"Conferir tarifa","Válido"))))))))</x:f>
      </x:c>
    </x:row>
    <x:row r="17" ht="42" customHeight="1">
      <x:c r="A17" s="25"/>
      <x:c r="B17" s="30"/>
      <x:c r="C17" s="30"/>
      <x:c r="D17" s="36"/>
      <x:c r="E17" s="36"/>
      <x:c r="F17" s="56"/>
      <x:c r="G17" s="39"/>
      <x:c r="H17" s="43"/>
      <x:c r="I17" s="44" t="str">
        <x:f>IF(O17="Válido",ROUND(G17*H17,2),"")</x:f>
      </x:c>
      <x:c r="J17" s="57" t="str">
        <x:f>IF(O17="","",IF(O17&lt;&gt;"Válido","Conferir cadastro",IF(F17="Encerrado","Encerrado",IF(E17&lt;Auxiliar!$B$4,"Prazo encerrado",IF(D17&gt;Auxiliar!$B$4,"A iniciar",IF(F17="Suspenso","Suspenso","Ativo"))))))</x:f>
      </x:c>
      <x:c r="K17" s="26" t="str">
        <x:f>IF(O17="Válido",E17-Auxiliar!$B$4,"")</x:f>
      </x:c>
      <x:c r="L17" s="26" t="str">
        <x:f>IF(J17="","",IF(J17="Ativo",G17,0))</x:f>
      </x:c>
      <x:c r="M17" s="44" t="str">
        <x:f>IF(J17="","",IF(J17="Ativo",I17,0))</x:f>
      </x:c>
      <x:c r="N17" s="26" t="str">
        <x:f>IF(J17="","",IF(AND(J17="Ativo",K17&gt;=0,K17&lt;=Auxiliar!$B$8),"Vence no período de alerta",IF(J17="Conferir cadastro","Conferir cadastro","")))</x:f>
      </x:c>
      <x:c r="O17" s="26" t="str">
        <x:f>IF(COUNTA(A17:H17)=0,"",IF(A17="","Informe ID",IF(COUNTIFS($A$7:$A$56,A17)&lt;&gt;1,"Duplicado: contrato",IF(OR(B17="",C17=""),"Informe objeto e fornecedor",IF(OR(NOT(ISNUMBER(D17)),NOT(ISNUMBER(E17)),D17&lt;DATE(2000,1,1),E17&gt;DATE(2100,12,31),E17&lt;D17),"Conferir datas",IF(AND(F17&lt;&gt;"Ativo",F17&lt;&gt;"Suspenso",F17&lt;&gt;"Encerrado"),"Conferir situação",IF(IF(ISNUMBER(G17),OR(G17&lt;=0,MOD(G17,1)&lt;&gt;0),TRUE),"Conferir vagas",IF(OR(NOT(ISNUMBER(H17)),H17&lt;0),"Conferir tarifa","Válido"))))))))</x:f>
      </x:c>
    </x:row>
    <x:row r="18" ht="42" customHeight="1">
      <x:c r="A18" s="25"/>
      <x:c r="B18" s="30"/>
      <x:c r="C18" s="30"/>
      <x:c r="D18" s="36"/>
      <x:c r="E18" s="36"/>
      <x:c r="F18" s="56"/>
      <x:c r="G18" s="39"/>
      <x:c r="H18" s="43"/>
      <x:c r="I18" s="44" t="str">
        <x:f>IF(O18="Válido",ROUND(G18*H18,2),"")</x:f>
      </x:c>
      <x:c r="J18" s="57" t="str">
        <x:f>IF(O18="","",IF(O18&lt;&gt;"Válido","Conferir cadastro",IF(F18="Encerrado","Encerrado",IF(E18&lt;Auxiliar!$B$4,"Prazo encerrado",IF(D18&gt;Auxiliar!$B$4,"A iniciar",IF(F18="Suspenso","Suspenso","Ativo"))))))</x:f>
      </x:c>
      <x:c r="K18" s="26" t="str">
        <x:f>IF(O18="Válido",E18-Auxiliar!$B$4,"")</x:f>
      </x:c>
      <x:c r="L18" s="26" t="str">
        <x:f>IF(J18="","",IF(J18="Ativo",G18,0))</x:f>
      </x:c>
      <x:c r="M18" s="44" t="str">
        <x:f>IF(J18="","",IF(J18="Ativo",I18,0))</x:f>
      </x:c>
      <x:c r="N18" s="26" t="str">
        <x:f>IF(J18="","",IF(AND(J18="Ativo",K18&gt;=0,K18&lt;=Auxiliar!$B$8),"Vence no período de alerta",IF(J18="Conferir cadastro","Conferir cadastro","")))</x:f>
      </x:c>
      <x:c r="O18" s="26" t="str">
        <x:f>IF(COUNTA(A18:H18)=0,"",IF(A18="","Informe ID",IF(COUNTIFS($A$7:$A$56,A18)&lt;&gt;1,"Duplicado: contrato",IF(OR(B18="",C18=""),"Informe objeto e fornecedor",IF(OR(NOT(ISNUMBER(D18)),NOT(ISNUMBER(E18)),D18&lt;DATE(2000,1,1),E18&gt;DATE(2100,12,31),E18&lt;D18),"Conferir datas",IF(AND(F18&lt;&gt;"Ativo",F18&lt;&gt;"Suspenso",F18&lt;&gt;"Encerrado"),"Conferir situação",IF(IF(ISNUMBER(G18),OR(G18&lt;=0,MOD(G18,1)&lt;&gt;0),TRUE),"Conferir vagas",IF(OR(NOT(ISNUMBER(H18)),H18&lt;0),"Conferir tarifa","Válido"))))))))</x:f>
      </x:c>
    </x:row>
    <x:row r="19" ht="42" customHeight="1">
      <x:c r="A19" s="25"/>
      <x:c r="B19" s="30"/>
      <x:c r="C19" s="30"/>
      <x:c r="D19" s="36"/>
      <x:c r="E19" s="36"/>
      <x:c r="F19" s="56"/>
      <x:c r="G19" s="39"/>
      <x:c r="H19" s="43"/>
      <x:c r="I19" s="44" t="str">
        <x:f>IF(O19="Válido",ROUND(G19*H19,2),"")</x:f>
      </x:c>
      <x:c r="J19" s="57" t="str">
        <x:f>IF(O19="","",IF(O19&lt;&gt;"Válido","Conferir cadastro",IF(F19="Encerrado","Encerrado",IF(E19&lt;Auxiliar!$B$4,"Prazo encerrado",IF(D19&gt;Auxiliar!$B$4,"A iniciar",IF(F19="Suspenso","Suspenso","Ativo"))))))</x:f>
      </x:c>
      <x:c r="K19" s="26" t="str">
        <x:f>IF(O19="Válido",E19-Auxiliar!$B$4,"")</x:f>
      </x:c>
      <x:c r="L19" s="26" t="str">
        <x:f>IF(J19="","",IF(J19="Ativo",G19,0))</x:f>
      </x:c>
      <x:c r="M19" s="44" t="str">
        <x:f>IF(J19="","",IF(J19="Ativo",I19,0))</x:f>
      </x:c>
      <x:c r="N19" s="26" t="str">
        <x:f>IF(J19="","",IF(AND(J19="Ativo",K19&gt;=0,K19&lt;=Auxiliar!$B$8),"Vence no período de alerta",IF(J19="Conferir cadastro","Conferir cadastro","")))</x:f>
      </x:c>
      <x:c r="O19" s="26" t="str">
        <x:f>IF(COUNTA(A19:H19)=0,"",IF(A19="","Informe ID",IF(COUNTIFS($A$7:$A$56,A19)&lt;&gt;1,"Duplicado: contrato",IF(OR(B19="",C19=""),"Informe objeto e fornecedor",IF(OR(NOT(ISNUMBER(D19)),NOT(ISNUMBER(E19)),D19&lt;DATE(2000,1,1),E19&gt;DATE(2100,12,31),E19&lt;D19),"Conferir datas",IF(AND(F19&lt;&gt;"Ativo",F19&lt;&gt;"Suspenso",F19&lt;&gt;"Encerrado"),"Conferir situação",IF(IF(ISNUMBER(G19),OR(G19&lt;=0,MOD(G19,1)&lt;&gt;0),TRUE),"Conferir vagas",IF(OR(NOT(ISNUMBER(H19)),H19&lt;0),"Conferir tarifa","Válido"))))))))</x:f>
      </x:c>
    </x:row>
    <x:row r="20" ht="42" customHeight="1">
      <x:c r="A20" s="25"/>
      <x:c r="B20" s="30"/>
      <x:c r="C20" s="30"/>
      <x:c r="D20" s="36"/>
      <x:c r="E20" s="36"/>
      <x:c r="F20" s="56"/>
      <x:c r="G20" s="39"/>
      <x:c r="H20" s="43"/>
      <x:c r="I20" s="44" t="str">
        <x:f>IF(O20="Válido",ROUND(G20*H20,2),"")</x:f>
      </x:c>
      <x:c r="J20" s="57" t="str">
        <x:f>IF(O20="","",IF(O20&lt;&gt;"Válido","Conferir cadastro",IF(F20="Encerrado","Encerrado",IF(E20&lt;Auxiliar!$B$4,"Prazo encerrado",IF(D20&gt;Auxiliar!$B$4,"A iniciar",IF(F20="Suspenso","Suspenso","Ativo"))))))</x:f>
      </x:c>
      <x:c r="K20" s="26" t="str">
        <x:f>IF(O20="Válido",E20-Auxiliar!$B$4,"")</x:f>
      </x:c>
      <x:c r="L20" s="26" t="str">
        <x:f>IF(J20="","",IF(J20="Ativo",G20,0))</x:f>
      </x:c>
      <x:c r="M20" s="44" t="str">
        <x:f>IF(J20="","",IF(J20="Ativo",I20,0))</x:f>
      </x:c>
      <x:c r="N20" s="26" t="str">
        <x:f>IF(J20="","",IF(AND(J20="Ativo",K20&gt;=0,K20&lt;=Auxiliar!$B$8),"Vence no período de alerta",IF(J20="Conferir cadastro","Conferir cadastro","")))</x:f>
      </x:c>
      <x:c r="O20" s="26" t="str">
        <x:f>IF(COUNTA(A20:H20)=0,"",IF(A20="","Informe ID",IF(COUNTIFS($A$7:$A$56,A20)&lt;&gt;1,"Duplicado: contrato",IF(OR(B20="",C20=""),"Informe objeto e fornecedor",IF(OR(NOT(ISNUMBER(D20)),NOT(ISNUMBER(E20)),D20&lt;DATE(2000,1,1),E20&gt;DATE(2100,12,31),E20&lt;D20),"Conferir datas",IF(AND(F20&lt;&gt;"Ativo",F20&lt;&gt;"Suspenso",F20&lt;&gt;"Encerrado"),"Conferir situação",IF(IF(ISNUMBER(G20),OR(G20&lt;=0,MOD(G20,1)&lt;&gt;0),TRUE),"Conferir vagas",IF(OR(NOT(ISNUMBER(H20)),H20&lt;0),"Conferir tarifa","Válido"))))))))</x:f>
      </x:c>
    </x:row>
    <x:row r="21" ht="42" customHeight="1">
      <x:c r="A21" s="25"/>
      <x:c r="B21" s="30"/>
      <x:c r="C21" s="30"/>
      <x:c r="D21" s="36"/>
      <x:c r="E21" s="36"/>
      <x:c r="F21" s="56"/>
      <x:c r="G21" s="39"/>
      <x:c r="H21" s="43"/>
      <x:c r="I21" s="44" t="str">
        <x:f>IF(O21="Válido",ROUND(G21*H21,2),"")</x:f>
      </x:c>
      <x:c r="J21" s="57" t="str">
        <x:f>IF(O21="","",IF(O21&lt;&gt;"Válido","Conferir cadastro",IF(F21="Encerrado","Encerrado",IF(E21&lt;Auxiliar!$B$4,"Prazo encerrado",IF(D21&gt;Auxiliar!$B$4,"A iniciar",IF(F21="Suspenso","Suspenso","Ativo"))))))</x:f>
      </x:c>
      <x:c r="K21" s="26" t="str">
        <x:f>IF(O21="Válido",E21-Auxiliar!$B$4,"")</x:f>
      </x:c>
      <x:c r="L21" s="26" t="str">
        <x:f>IF(J21="","",IF(J21="Ativo",G21,0))</x:f>
      </x:c>
      <x:c r="M21" s="44" t="str">
        <x:f>IF(J21="","",IF(J21="Ativo",I21,0))</x:f>
      </x:c>
      <x:c r="N21" s="26" t="str">
        <x:f>IF(J21="","",IF(AND(J21="Ativo",K21&gt;=0,K21&lt;=Auxiliar!$B$8),"Vence no período de alerta",IF(J21="Conferir cadastro","Conferir cadastro","")))</x:f>
      </x:c>
      <x:c r="O21" s="26" t="str">
        <x:f>IF(COUNTA(A21:H21)=0,"",IF(A21="","Informe ID",IF(COUNTIFS($A$7:$A$56,A21)&lt;&gt;1,"Duplicado: contrato",IF(OR(B21="",C21=""),"Informe objeto e fornecedor",IF(OR(NOT(ISNUMBER(D21)),NOT(ISNUMBER(E21)),D21&lt;DATE(2000,1,1),E21&gt;DATE(2100,12,31),E21&lt;D21),"Conferir datas",IF(AND(F21&lt;&gt;"Ativo",F21&lt;&gt;"Suspenso",F21&lt;&gt;"Encerrado"),"Conferir situação",IF(IF(ISNUMBER(G21),OR(G21&lt;=0,MOD(G21,1)&lt;&gt;0),TRUE),"Conferir vagas",IF(OR(NOT(ISNUMBER(H21)),H21&lt;0),"Conferir tarifa","Válido"))))))))</x:f>
      </x:c>
    </x:row>
    <x:row r="22" ht="42" customHeight="1">
      <x:c r="A22" s="25"/>
      <x:c r="B22" s="30"/>
      <x:c r="C22" s="30"/>
      <x:c r="D22" s="36"/>
      <x:c r="E22" s="36"/>
      <x:c r="F22" s="56"/>
      <x:c r="G22" s="39"/>
      <x:c r="H22" s="43"/>
      <x:c r="I22" s="44" t="str">
        <x:f>IF(O22="Válido",ROUND(G22*H22,2),"")</x:f>
      </x:c>
      <x:c r="J22" s="57" t="str">
        <x:f>IF(O22="","",IF(O22&lt;&gt;"Válido","Conferir cadastro",IF(F22="Encerrado","Encerrado",IF(E22&lt;Auxiliar!$B$4,"Prazo encerrado",IF(D22&gt;Auxiliar!$B$4,"A iniciar",IF(F22="Suspenso","Suspenso","Ativo"))))))</x:f>
      </x:c>
      <x:c r="K22" s="26" t="str">
        <x:f>IF(O22="Válido",E22-Auxiliar!$B$4,"")</x:f>
      </x:c>
      <x:c r="L22" s="26" t="str">
        <x:f>IF(J22="","",IF(J22="Ativo",G22,0))</x:f>
      </x:c>
      <x:c r="M22" s="44" t="str">
        <x:f>IF(J22="","",IF(J22="Ativo",I22,0))</x:f>
      </x:c>
      <x:c r="N22" s="26" t="str">
        <x:f>IF(J22="","",IF(AND(J22="Ativo",K22&gt;=0,K22&lt;=Auxiliar!$B$8),"Vence no período de alerta",IF(J22="Conferir cadastro","Conferir cadastro","")))</x:f>
      </x:c>
      <x:c r="O22" s="26" t="str">
        <x:f>IF(COUNTA(A22:H22)=0,"",IF(A22="","Informe ID",IF(COUNTIFS($A$7:$A$56,A22)&lt;&gt;1,"Duplicado: contrato",IF(OR(B22="",C22=""),"Informe objeto e fornecedor",IF(OR(NOT(ISNUMBER(D22)),NOT(ISNUMBER(E22)),D22&lt;DATE(2000,1,1),E22&gt;DATE(2100,12,31),E22&lt;D22),"Conferir datas",IF(AND(F22&lt;&gt;"Ativo",F22&lt;&gt;"Suspenso",F22&lt;&gt;"Encerrado"),"Conferir situação",IF(IF(ISNUMBER(G22),OR(G22&lt;=0,MOD(G22,1)&lt;&gt;0),TRUE),"Conferir vagas",IF(OR(NOT(ISNUMBER(H22)),H22&lt;0),"Conferir tarifa","Válido"))))))))</x:f>
      </x:c>
    </x:row>
    <x:row r="23" ht="42" customHeight="1">
      <x:c r="A23" s="25"/>
      <x:c r="B23" s="30"/>
      <x:c r="C23" s="30"/>
      <x:c r="D23" s="36"/>
      <x:c r="E23" s="36"/>
      <x:c r="F23" s="56"/>
      <x:c r="G23" s="39"/>
      <x:c r="H23" s="43"/>
      <x:c r="I23" s="44" t="str">
        <x:f>IF(O23="Válido",ROUND(G23*H23,2),"")</x:f>
      </x:c>
      <x:c r="J23" s="57" t="str">
        <x:f>IF(O23="","",IF(O23&lt;&gt;"Válido","Conferir cadastro",IF(F23="Encerrado","Encerrado",IF(E23&lt;Auxiliar!$B$4,"Prazo encerrado",IF(D23&gt;Auxiliar!$B$4,"A iniciar",IF(F23="Suspenso","Suspenso","Ativo"))))))</x:f>
      </x:c>
      <x:c r="K23" s="26" t="str">
        <x:f>IF(O23="Válido",E23-Auxiliar!$B$4,"")</x:f>
      </x:c>
      <x:c r="L23" s="26" t="str">
        <x:f>IF(J23="","",IF(J23="Ativo",G23,0))</x:f>
      </x:c>
      <x:c r="M23" s="44" t="str">
        <x:f>IF(J23="","",IF(J23="Ativo",I23,0))</x:f>
      </x:c>
      <x:c r="N23" s="26" t="str">
        <x:f>IF(J23="","",IF(AND(J23="Ativo",K23&gt;=0,K23&lt;=Auxiliar!$B$8),"Vence no período de alerta",IF(J23="Conferir cadastro","Conferir cadastro","")))</x:f>
      </x:c>
      <x:c r="O23" s="26" t="str">
        <x:f>IF(COUNTA(A23:H23)=0,"",IF(A23="","Informe ID",IF(COUNTIFS($A$7:$A$56,A23)&lt;&gt;1,"Duplicado: contrato",IF(OR(B23="",C23=""),"Informe objeto e fornecedor",IF(OR(NOT(ISNUMBER(D23)),NOT(ISNUMBER(E23)),D23&lt;DATE(2000,1,1),E23&gt;DATE(2100,12,31),E23&lt;D23),"Conferir datas",IF(AND(F23&lt;&gt;"Ativo",F23&lt;&gt;"Suspenso",F23&lt;&gt;"Encerrado"),"Conferir situação",IF(IF(ISNUMBER(G23),OR(G23&lt;=0,MOD(G23,1)&lt;&gt;0),TRUE),"Conferir vagas",IF(OR(NOT(ISNUMBER(H23)),H23&lt;0),"Conferir tarifa","Válido"))))))))</x:f>
      </x:c>
    </x:row>
    <x:row r="24" ht="42" customHeight="1">
      <x:c r="A24" s="25"/>
      <x:c r="B24" s="30"/>
      <x:c r="C24" s="30"/>
      <x:c r="D24" s="36"/>
      <x:c r="E24" s="36"/>
      <x:c r="F24" s="56"/>
      <x:c r="G24" s="39"/>
      <x:c r="H24" s="43"/>
      <x:c r="I24" s="44" t="str">
        <x:f>IF(O24="Válido",ROUND(G24*H24,2),"")</x:f>
      </x:c>
      <x:c r="J24" s="57" t="str">
        <x:f>IF(O24="","",IF(O24&lt;&gt;"Válido","Conferir cadastro",IF(F24="Encerrado","Encerrado",IF(E24&lt;Auxiliar!$B$4,"Prazo encerrado",IF(D24&gt;Auxiliar!$B$4,"A iniciar",IF(F24="Suspenso","Suspenso","Ativo"))))))</x:f>
      </x:c>
      <x:c r="K24" s="26" t="str">
        <x:f>IF(O24="Válido",E24-Auxiliar!$B$4,"")</x:f>
      </x:c>
      <x:c r="L24" s="26" t="str">
        <x:f>IF(J24="","",IF(J24="Ativo",G24,0))</x:f>
      </x:c>
      <x:c r="M24" s="44" t="str">
        <x:f>IF(J24="","",IF(J24="Ativo",I24,0))</x:f>
      </x:c>
      <x:c r="N24" s="26" t="str">
        <x:f>IF(J24="","",IF(AND(J24="Ativo",K24&gt;=0,K24&lt;=Auxiliar!$B$8),"Vence no período de alerta",IF(J24="Conferir cadastro","Conferir cadastro","")))</x:f>
      </x:c>
      <x:c r="O24" s="26" t="str">
        <x:f>IF(COUNTA(A24:H24)=0,"",IF(A24="","Informe ID",IF(COUNTIFS($A$7:$A$56,A24)&lt;&gt;1,"Duplicado: contrato",IF(OR(B24="",C24=""),"Informe objeto e fornecedor",IF(OR(NOT(ISNUMBER(D24)),NOT(ISNUMBER(E24)),D24&lt;DATE(2000,1,1),E24&gt;DATE(2100,12,31),E24&lt;D24),"Conferir datas",IF(AND(F24&lt;&gt;"Ativo",F24&lt;&gt;"Suspenso",F24&lt;&gt;"Encerrado"),"Conferir situação",IF(IF(ISNUMBER(G24),OR(G24&lt;=0,MOD(G24,1)&lt;&gt;0),TRUE),"Conferir vagas",IF(OR(NOT(ISNUMBER(H24)),H24&lt;0),"Conferir tarifa","Válido"))))))))</x:f>
      </x:c>
    </x:row>
    <x:row r="25" ht="42" customHeight="1">
      <x:c r="A25" s="25"/>
      <x:c r="B25" s="30"/>
      <x:c r="C25" s="30"/>
      <x:c r="D25" s="36"/>
      <x:c r="E25" s="36"/>
      <x:c r="F25" s="56"/>
      <x:c r="G25" s="39"/>
      <x:c r="H25" s="43"/>
      <x:c r="I25" s="44" t="str">
        <x:f>IF(O25="Válido",ROUND(G25*H25,2),"")</x:f>
      </x:c>
      <x:c r="J25" s="57" t="str">
        <x:f>IF(O25="","",IF(O25&lt;&gt;"Válido","Conferir cadastro",IF(F25="Encerrado","Encerrado",IF(E25&lt;Auxiliar!$B$4,"Prazo encerrado",IF(D25&gt;Auxiliar!$B$4,"A iniciar",IF(F25="Suspenso","Suspenso","Ativo"))))))</x:f>
      </x:c>
      <x:c r="K25" s="26" t="str">
        <x:f>IF(O25="Válido",E25-Auxiliar!$B$4,"")</x:f>
      </x:c>
      <x:c r="L25" s="26" t="str">
        <x:f>IF(J25="","",IF(J25="Ativo",G25,0))</x:f>
      </x:c>
      <x:c r="M25" s="44" t="str">
        <x:f>IF(J25="","",IF(J25="Ativo",I25,0))</x:f>
      </x:c>
      <x:c r="N25" s="26" t="str">
        <x:f>IF(J25="","",IF(AND(J25="Ativo",K25&gt;=0,K25&lt;=Auxiliar!$B$8),"Vence no período de alerta",IF(J25="Conferir cadastro","Conferir cadastro","")))</x:f>
      </x:c>
      <x:c r="O25" s="26" t="str">
        <x:f>IF(COUNTA(A25:H25)=0,"",IF(A25="","Informe ID",IF(COUNTIFS($A$7:$A$56,A25)&lt;&gt;1,"Duplicado: contrato",IF(OR(B25="",C25=""),"Informe objeto e fornecedor",IF(OR(NOT(ISNUMBER(D25)),NOT(ISNUMBER(E25)),D25&lt;DATE(2000,1,1),E25&gt;DATE(2100,12,31),E25&lt;D25),"Conferir datas",IF(AND(F25&lt;&gt;"Ativo",F25&lt;&gt;"Suspenso",F25&lt;&gt;"Encerrado"),"Conferir situação",IF(IF(ISNUMBER(G25),OR(G25&lt;=0,MOD(G25,1)&lt;&gt;0),TRUE),"Conferir vagas",IF(OR(NOT(ISNUMBER(H25)),H25&lt;0),"Conferir tarifa","Válido"))))))))</x:f>
      </x:c>
    </x:row>
    <x:row r="26" ht="42" customHeight="1">
      <x:c r="A26" s="25"/>
      <x:c r="B26" s="30"/>
      <x:c r="C26" s="30"/>
      <x:c r="D26" s="36"/>
      <x:c r="E26" s="36"/>
      <x:c r="F26" s="56"/>
      <x:c r="G26" s="39"/>
      <x:c r="H26" s="43"/>
      <x:c r="I26" s="44" t="str">
        <x:f>IF(O26="Válido",ROUND(G26*H26,2),"")</x:f>
      </x:c>
      <x:c r="J26" s="57" t="str">
        <x:f>IF(O26="","",IF(O26&lt;&gt;"Válido","Conferir cadastro",IF(F26="Encerrado","Encerrado",IF(E26&lt;Auxiliar!$B$4,"Prazo encerrado",IF(D26&gt;Auxiliar!$B$4,"A iniciar",IF(F26="Suspenso","Suspenso","Ativo"))))))</x:f>
      </x:c>
      <x:c r="K26" s="26" t="str">
        <x:f>IF(O26="Válido",E26-Auxiliar!$B$4,"")</x:f>
      </x:c>
      <x:c r="L26" s="26" t="str">
        <x:f>IF(J26="","",IF(J26="Ativo",G26,0))</x:f>
      </x:c>
      <x:c r="M26" s="44" t="str">
        <x:f>IF(J26="","",IF(J26="Ativo",I26,0))</x:f>
      </x:c>
      <x:c r="N26" s="26" t="str">
        <x:f>IF(J26="","",IF(AND(J26="Ativo",K26&gt;=0,K26&lt;=Auxiliar!$B$8),"Vence no período de alerta",IF(J26="Conferir cadastro","Conferir cadastro","")))</x:f>
      </x:c>
      <x:c r="O26" s="26" t="str">
        <x:f>IF(COUNTA(A26:H26)=0,"",IF(A26="","Informe ID",IF(COUNTIFS($A$7:$A$56,A26)&lt;&gt;1,"Duplicado: contrato",IF(OR(B26="",C26=""),"Informe objeto e fornecedor",IF(OR(NOT(ISNUMBER(D26)),NOT(ISNUMBER(E26)),D26&lt;DATE(2000,1,1),E26&gt;DATE(2100,12,31),E26&lt;D26),"Conferir datas",IF(AND(F26&lt;&gt;"Ativo",F26&lt;&gt;"Suspenso",F26&lt;&gt;"Encerrado"),"Conferir situação",IF(IF(ISNUMBER(G26),OR(G26&lt;=0,MOD(G26,1)&lt;&gt;0),TRUE),"Conferir vagas",IF(OR(NOT(ISNUMBER(H26)),H26&lt;0),"Conferir tarifa","Válido"))))))))</x:f>
      </x:c>
    </x:row>
    <x:row r="27" ht="42" customHeight="1">
      <x:c r="A27" s="25"/>
      <x:c r="B27" s="30"/>
      <x:c r="C27" s="30"/>
      <x:c r="D27" s="36"/>
      <x:c r="E27" s="36"/>
      <x:c r="F27" s="56"/>
      <x:c r="G27" s="39"/>
      <x:c r="H27" s="43"/>
      <x:c r="I27" s="44" t="str">
        <x:f>IF(O27="Válido",ROUND(G27*H27,2),"")</x:f>
      </x:c>
      <x:c r="J27" s="57" t="str">
        <x:f>IF(O27="","",IF(O27&lt;&gt;"Válido","Conferir cadastro",IF(F27="Encerrado","Encerrado",IF(E27&lt;Auxiliar!$B$4,"Prazo encerrado",IF(D27&gt;Auxiliar!$B$4,"A iniciar",IF(F27="Suspenso","Suspenso","Ativo"))))))</x:f>
      </x:c>
      <x:c r="K27" s="26" t="str">
        <x:f>IF(O27="Válido",E27-Auxiliar!$B$4,"")</x:f>
      </x:c>
      <x:c r="L27" s="26" t="str">
        <x:f>IF(J27="","",IF(J27="Ativo",G27,0))</x:f>
      </x:c>
      <x:c r="M27" s="44" t="str">
        <x:f>IF(J27="","",IF(J27="Ativo",I27,0))</x:f>
      </x:c>
      <x:c r="N27" s="26" t="str">
        <x:f>IF(J27="","",IF(AND(J27="Ativo",K27&gt;=0,K27&lt;=Auxiliar!$B$8),"Vence no período de alerta",IF(J27="Conferir cadastro","Conferir cadastro","")))</x:f>
      </x:c>
      <x:c r="O27" s="26" t="str">
        <x:f>IF(COUNTA(A27:H27)=0,"",IF(A27="","Informe ID",IF(COUNTIFS($A$7:$A$56,A27)&lt;&gt;1,"Duplicado: contrato",IF(OR(B27="",C27=""),"Informe objeto e fornecedor",IF(OR(NOT(ISNUMBER(D27)),NOT(ISNUMBER(E27)),D27&lt;DATE(2000,1,1),E27&gt;DATE(2100,12,31),E27&lt;D27),"Conferir datas",IF(AND(F27&lt;&gt;"Ativo",F27&lt;&gt;"Suspenso",F27&lt;&gt;"Encerrado"),"Conferir situação",IF(IF(ISNUMBER(G27),OR(G27&lt;=0,MOD(G27,1)&lt;&gt;0),TRUE),"Conferir vagas",IF(OR(NOT(ISNUMBER(H27)),H27&lt;0),"Conferir tarifa","Válido"))))))))</x:f>
      </x:c>
    </x:row>
    <x:row r="28" ht="42" customHeight="1">
      <x:c r="A28" s="25"/>
      <x:c r="B28" s="30"/>
      <x:c r="C28" s="30"/>
      <x:c r="D28" s="36"/>
      <x:c r="E28" s="36"/>
      <x:c r="F28" s="56"/>
      <x:c r="G28" s="39"/>
      <x:c r="H28" s="43"/>
      <x:c r="I28" s="44" t="str">
        <x:f>IF(O28="Válido",ROUND(G28*H28,2),"")</x:f>
      </x:c>
      <x:c r="J28" s="57" t="str">
        <x:f>IF(O28="","",IF(O28&lt;&gt;"Válido","Conferir cadastro",IF(F28="Encerrado","Encerrado",IF(E28&lt;Auxiliar!$B$4,"Prazo encerrado",IF(D28&gt;Auxiliar!$B$4,"A iniciar",IF(F28="Suspenso","Suspenso","Ativo"))))))</x:f>
      </x:c>
      <x:c r="K28" s="26" t="str">
        <x:f>IF(O28="Válido",E28-Auxiliar!$B$4,"")</x:f>
      </x:c>
      <x:c r="L28" s="26" t="str">
        <x:f>IF(J28="","",IF(J28="Ativo",G28,0))</x:f>
      </x:c>
      <x:c r="M28" s="44" t="str">
        <x:f>IF(J28="","",IF(J28="Ativo",I28,0))</x:f>
      </x:c>
      <x:c r="N28" s="26" t="str">
        <x:f>IF(J28="","",IF(AND(J28="Ativo",K28&gt;=0,K28&lt;=Auxiliar!$B$8),"Vence no período de alerta",IF(J28="Conferir cadastro","Conferir cadastro","")))</x:f>
      </x:c>
      <x:c r="O28" s="26" t="str">
        <x:f>IF(COUNTA(A28:H28)=0,"",IF(A28="","Informe ID",IF(COUNTIFS($A$7:$A$56,A28)&lt;&gt;1,"Duplicado: contrato",IF(OR(B28="",C28=""),"Informe objeto e fornecedor",IF(OR(NOT(ISNUMBER(D28)),NOT(ISNUMBER(E28)),D28&lt;DATE(2000,1,1),E28&gt;DATE(2100,12,31),E28&lt;D28),"Conferir datas",IF(AND(F28&lt;&gt;"Ativo",F28&lt;&gt;"Suspenso",F28&lt;&gt;"Encerrado"),"Conferir situação",IF(IF(ISNUMBER(G28),OR(G28&lt;=0,MOD(G28,1)&lt;&gt;0),TRUE),"Conferir vagas",IF(OR(NOT(ISNUMBER(H28)),H28&lt;0),"Conferir tarifa","Válido"))))))))</x:f>
      </x:c>
    </x:row>
    <x:row r="29" ht="42" customHeight="1">
      <x:c r="A29" s="25"/>
      <x:c r="B29" s="30"/>
      <x:c r="C29" s="30"/>
      <x:c r="D29" s="36"/>
      <x:c r="E29" s="36"/>
      <x:c r="F29" s="56"/>
      <x:c r="G29" s="39"/>
      <x:c r="H29" s="43"/>
      <x:c r="I29" s="44" t="str">
        <x:f>IF(O29="Válido",ROUND(G29*H29,2),"")</x:f>
      </x:c>
      <x:c r="J29" s="57" t="str">
        <x:f>IF(O29="","",IF(O29&lt;&gt;"Válido","Conferir cadastro",IF(F29="Encerrado","Encerrado",IF(E29&lt;Auxiliar!$B$4,"Prazo encerrado",IF(D29&gt;Auxiliar!$B$4,"A iniciar",IF(F29="Suspenso","Suspenso","Ativo"))))))</x:f>
      </x:c>
      <x:c r="K29" s="26" t="str">
        <x:f>IF(O29="Válido",E29-Auxiliar!$B$4,"")</x:f>
      </x:c>
      <x:c r="L29" s="26" t="str">
        <x:f>IF(J29="","",IF(J29="Ativo",G29,0))</x:f>
      </x:c>
      <x:c r="M29" s="44" t="str">
        <x:f>IF(J29="","",IF(J29="Ativo",I29,0))</x:f>
      </x:c>
      <x:c r="N29" s="26" t="str">
        <x:f>IF(J29="","",IF(AND(J29="Ativo",K29&gt;=0,K29&lt;=Auxiliar!$B$8),"Vence no período de alerta",IF(J29="Conferir cadastro","Conferir cadastro","")))</x:f>
      </x:c>
      <x:c r="O29" s="26" t="str">
        <x:f>IF(COUNTA(A29:H29)=0,"",IF(A29="","Informe ID",IF(COUNTIFS($A$7:$A$56,A29)&lt;&gt;1,"Duplicado: contrato",IF(OR(B29="",C29=""),"Informe objeto e fornecedor",IF(OR(NOT(ISNUMBER(D29)),NOT(ISNUMBER(E29)),D29&lt;DATE(2000,1,1),E29&gt;DATE(2100,12,31),E29&lt;D29),"Conferir datas",IF(AND(F29&lt;&gt;"Ativo",F29&lt;&gt;"Suspenso",F29&lt;&gt;"Encerrado"),"Conferir situação",IF(IF(ISNUMBER(G29),OR(G29&lt;=0,MOD(G29,1)&lt;&gt;0),TRUE),"Conferir vagas",IF(OR(NOT(ISNUMBER(H29)),H29&lt;0),"Conferir tarifa","Válido"))))))))</x:f>
      </x:c>
    </x:row>
    <x:row r="30" ht="42" customHeight="1">
      <x:c r="A30" s="25"/>
      <x:c r="B30" s="30"/>
      <x:c r="C30" s="30"/>
      <x:c r="D30" s="36"/>
      <x:c r="E30" s="36"/>
      <x:c r="F30" s="56"/>
      <x:c r="G30" s="39"/>
      <x:c r="H30" s="43"/>
      <x:c r="I30" s="44" t="str">
        <x:f>IF(O30="Válido",ROUND(G30*H30,2),"")</x:f>
      </x:c>
      <x:c r="J30" s="57" t="str">
        <x:f>IF(O30="","",IF(O30&lt;&gt;"Válido","Conferir cadastro",IF(F30="Encerrado","Encerrado",IF(E30&lt;Auxiliar!$B$4,"Prazo encerrado",IF(D30&gt;Auxiliar!$B$4,"A iniciar",IF(F30="Suspenso","Suspenso","Ativo"))))))</x:f>
      </x:c>
      <x:c r="K30" s="26" t="str">
        <x:f>IF(O30="Válido",E30-Auxiliar!$B$4,"")</x:f>
      </x:c>
      <x:c r="L30" s="26" t="str">
        <x:f>IF(J30="","",IF(J30="Ativo",G30,0))</x:f>
      </x:c>
      <x:c r="M30" s="44" t="str">
        <x:f>IF(J30="","",IF(J30="Ativo",I30,0))</x:f>
      </x:c>
      <x:c r="N30" s="26" t="str">
        <x:f>IF(J30="","",IF(AND(J30="Ativo",K30&gt;=0,K30&lt;=Auxiliar!$B$8),"Vence no período de alerta",IF(J30="Conferir cadastro","Conferir cadastro","")))</x:f>
      </x:c>
      <x:c r="O30" s="26" t="str">
        <x:f>IF(COUNTA(A30:H30)=0,"",IF(A30="","Informe ID",IF(COUNTIFS($A$7:$A$56,A30)&lt;&gt;1,"Duplicado: contrato",IF(OR(B30="",C30=""),"Informe objeto e fornecedor",IF(OR(NOT(ISNUMBER(D30)),NOT(ISNUMBER(E30)),D30&lt;DATE(2000,1,1),E30&gt;DATE(2100,12,31),E30&lt;D30),"Conferir datas",IF(AND(F30&lt;&gt;"Ativo",F30&lt;&gt;"Suspenso",F30&lt;&gt;"Encerrado"),"Conferir situação",IF(IF(ISNUMBER(G30),OR(G30&lt;=0,MOD(G30,1)&lt;&gt;0),TRUE),"Conferir vagas",IF(OR(NOT(ISNUMBER(H30)),H30&lt;0),"Conferir tarifa","Válido"))))))))</x:f>
      </x:c>
    </x:row>
    <x:row r="31" ht="42" customHeight="1">
      <x:c r="A31" s="25"/>
      <x:c r="B31" s="30"/>
      <x:c r="C31" s="30"/>
      <x:c r="D31" s="36"/>
      <x:c r="E31" s="36"/>
      <x:c r="F31" s="56"/>
      <x:c r="G31" s="39"/>
      <x:c r="H31" s="43"/>
      <x:c r="I31" s="44" t="str">
        <x:f>IF(O31="Válido",ROUND(G31*H31,2),"")</x:f>
      </x:c>
      <x:c r="J31" s="57" t="str">
        <x:f>IF(O31="","",IF(O31&lt;&gt;"Válido","Conferir cadastro",IF(F31="Encerrado","Encerrado",IF(E31&lt;Auxiliar!$B$4,"Prazo encerrado",IF(D31&gt;Auxiliar!$B$4,"A iniciar",IF(F31="Suspenso","Suspenso","Ativo"))))))</x:f>
      </x:c>
      <x:c r="K31" s="26" t="str">
        <x:f>IF(O31="Válido",E31-Auxiliar!$B$4,"")</x:f>
      </x:c>
      <x:c r="L31" s="26" t="str">
        <x:f>IF(J31="","",IF(J31="Ativo",G31,0))</x:f>
      </x:c>
      <x:c r="M31" s="44" t="str">
        <x:f>IF(J31="","",IF(J31="Ativo",I31,0))</x:f>
      </x:c>
      <x:c r="N31" s="26" t="str">
        <x:f>IF(J31="","",IF(AND(J31="Ativo",K31&gt;=0,K31&lt;=Auxiliar!$B$8),"Vence no período de alerta",IF(J31="Conferir cadastro","Conferir cadastro","")))</x:f>
      </x:c>
      <x:c r="O31" s="26" t="str">
        <x:f>IF(COUNTA(A31:H31)=0,"",IF(A31="","Informe ID",IF(COUNTIFS($A$7:$A$56,A31)&lt;&gt;1,"Duplicado: contrato",IF(OR(B31="",C31=""),"Informe objeto e fornecedor",IF(OR(NOT(ISNUMBER(D31)),NOT(ISNUMBER(E31)),D31&lt;DATE(2000,1,1),E31&gt;DATE(2100,12,31),E31&lt;D31),"Conferir datas",IF(AND(F31&lt;&gt;"Ativo",F31&lt;&gt;"Suspenso",F31&lt;&gt;"Encerrado"),"Conferir situação",IF(IF(ISNUMBER(G31),OR(G31&lt;=0,MOD(G31,1)&lt;&gt;0),TRUE),"Conferir vagas",IF(OR(NOT(ISNUMBER(H31)),H31&lt;0),"Conferir tarifa","Válido"))))))))</x:f>
      </x:c>
    </x:row>
    <x:row r="32" ht="42" customHeight="1">
      <x:c r="A32" s="25"/>
      <x:c r="B32" s="30"/>
      <x:c r="C32" s="30"/>
      <x:c r="D32" s="36"/>
      <x:c r="E32" s="36"/>
      <x:c r="F32" s="56"/>
      <x:c r="G32" s="39"/>
      <x:c r="H32" s="43"/>
      <x:c r="I32" s="44" t="str">
        <x:f>IF(O32="Válido",ROUND(G32*H32,2),"")</x:f>
      </x:c>
      <x:c r="J32" s="57" t="str">
        <x:f>IF(O32="","",IF(O32&lt;&gt;"Válido","Conferir cadastro",IF(F32="Encerrado","Encerrado",IF(E32&lt;Auxiliar!$B$4,"Prazo encerrado",IF(D32&gt;Auxiliar!$B$4,"A iniciar",IF(F32="Suspenso","Suspenso","Ativo"))))))</x:f>
      </x:c>
      <x:c r="K32" s="26" t="str">
        <x:f>IF(O32="Válido",E32-Auxiliar!$B$4,"")</x:f>
      </x:c>
      <x:c r="L32" s="26" t="str">
        <x:f>IF(J32="","",IF(J32="Ativo",G32,0))</x:f>
      </x:c>
      <x:c r="M32" s="44" t="str">
        <x:f>IF(J32="","",IF(J32="Ativo",I32,0))</x:f>
      </x:c>
      <x:c r="N32" s="26" t="str">
        <x:f>IF(J32="","",IF(AND(J32="Ativo",K32&gt;=0,K32&lt;=Auxiliar!$B$8),"Vence no período de alerta",IF(J32="Conferir cadastro","Conferir cadastro","")))</x:f>
      </x:c>
      <x:c r="O32" s="26" t="str">
        <x:f>IF(COUNTA(A32:H32)=0,"",IF(A32="","Informe ID",IF(COUNTIFS($A$7:$A$56,A32)&lt;&gt;1,"Duplicado: contrato",IF(OR(B32="",C32=""),"Informe objeto e fornecedor",IF(OR(NOT(ISNUMBER(D32)),NOT(ISNUMBER(E32)),D32&lt;DATE(2000,1,1),E32&gt;DATE(2100,12,31),E32&lt;D32),"Conferir datas",IF(AND(F32&lt;&gt;"Ativo",F32&lt;&gt;"Suspenso",F32&lt;&gt;"Encerrado"),"Conferir situação",IF(IF(ISNUMBER(G32),OR(G32&lt;=0,MOD(G32,1)&lt;&gt;0),TRUE),"Conferir vagas",IF(OR(NOT(ISNUMBER(H32)),H32&lt;0),"Conferir tarifa","Válido"))))))))</x:f>
      </x:c>
    </x:row>
    <x:row r="33" ht="42" customHeight="1">
      <x:c r="A33" s="25"/>
      <x:c r="B33" s="30"/>
      <x:c r="C33" s="30"/>
      <x:c r="D33" s="36"/>
      <x:c r="E33" s="36"/>
      <x:c r="F33" s="56"/>
      <x:c r="G33" s="39"/>
      <x:c r="H33" s="43"/>
      <x:c r="I33" s="44" t="str">
        <x:f>IF(O33="Válido",ROUND(G33*H33,2),"")</x:f>
      </x:c>
      <x:c r="J33" s="57" t="str">
        <x:f>IF(O33="","",IF(O33&lt;&gt;"Válido","Conferir cadastro",IF(F33="Encerrado","Encerrado",IF(E33&lt;Auxiliar!$B$4,"Prazo encerrado",IF(D33&gt;Auxiliar!$B$4,"A iniciar",IF(F33="Suspenso","Suspenso","Ativo"))))))</x:f>
      </x:c>
      <x:c r="K33" s="26" t="str">
        <x:f>IF(O33="Válido",E33-Auxiliar!$B$4,"")</x:f>
      </x:c>
      <x:c r="L33" s="26" t="str">
        <x:f>IF(J33="","",IF(J33="Ativo",G33,0))</x:f>
      </x:c>
      <x:c r="M33" s="44" t="str">
        <x:f>IF(J33="","",IF(J33="Ativo",I33,0))</x:f>
      </x:c>
      <x:c r="N33" s="26" t="str">
        <x:f>IF(J33="","",IF(AND(J33="Ativo",K33&gt;=0,K33&lt;=Auxiliar!$B$8),"Vence no período de alerta",IF(J33="Conferir cadastro","Conferir cadastro","")))</x:f>
      </x:c>
      <x:c r="O33" s="26" t="str">
        <x:f>IF(COUNTA(A33:H33)=0,"",IF(A33="","Informe ID",IF(COUNTIFS($A$7:$A$56,A33)&lt;&gt;1,"Duplicado: contrato",IF(OR(B33="",C33=""),"Informe objeto e fornecedor",IF(OR(NOT(ISNUMBER(D33)),NOT(ISNUMBER(E33)),D33&lt;DATE(2000,1,1),E33&gt;DATE(2100,12,31),E33&lt;D33),"Conferir datas",IF(AND(F33&lt;&gt;"Ativo",F33&lt;&gt;"Suspenso",F33&lt;&gt;"Encerrado"),"Conferir situação",IF(IF(ISNUMBER(G33),OR(G33&lt;=0,MOD(G33,1)&lt;&gt;0),TRUE),"Conferir vagas",IF(OR(NOT(ISNUMBER(H33)),H33&lt;0),"Conferir tarifa","Válido"))))))))</x:f>
      </x:c>
    </x:row>
    <x:row r="34" ht="42" customHeight="1">
      <x:c r="A34" s="25"/>
      <x:c r="B34" s="30"/>
      <x:c r="C34" s="30"/>
      <x:c r="D34" s="36"/>
      <x:c r="E34" s="36"/>
      <x:c r="F34" s="56"/>
      <x:c r="G34" s="39"/>
      <x:c r="H34" s="43"/>
      <x:c r="I34" s="44" t="str">
        <x:f>IF(O34="Válido",ROUND(G34*H34,2),"")</x:f>
      </x:c>
      <x:c r="J34" s="57" t="str">
        <x:f>IF(O34="","",IF(O34&lt;&gt;"Válido","Conferir cadastro",IF(F34="Encerrado","Encerrado",IF(E34&lt;Auxiliar!$B$4,"Prazo encerrado",IF(D34&gt;Auxiliar!$B$4,"A iniciar",IF(F34="Suspenso","Suspenso","Ativo"))))))</x:f>
      </x:c>
      <x:c r="K34" s="26" t="str">
        <x:f>IF(O34="Válido",E34-Auxiliar!$B$4,"")</x:f>
      </x:c>
      <x:c r="L34" s="26" t="str">
        <x:f>IF(J34="","",IF(J34="Ativo",G34,0))</x:f>
      </x:c>
      <x:c r="M34" s="44" t="str">
        <x:f>IF(J34="","",IF(J34="Ativo",I34,0))</x:f>
      </x:c>
      <x:c r="N34" s="26" t="str">
        <x:f>IF(J34="","",IF(AND(J34="Ativo",K34&gt;=0,K34&lt;=Auxiliar!$B$8),"Vence no período de alerta",IF(J34="Conferir cadastro","Conferir cadastro","")))</x:f>
      </x:c>
      <x:c r="O34" s="26" t="str">
        <x:f>IF(COUNTA(A34:H34)=0,"",IF(A34="","Informe ID",IF(COUNTIFS($A$7:$A$56,A34)&lt;&gt;1,"Duplicado: contrato",IF(OR(B34="",C34=""),"Informe objeto e fornecedor",IF(OR(NOT(ISNUMBER(D34)),NOT(ISNUMBER(E34)),D34&lt;DATE(2000,1,1),E34&gt;DATE(2100,12,31),E34&lt;D34),"Conferir datas",IF(AND(F34&lt;&gt;"Ativo",F34&lt;&gt;"Suspenso",F34&lt;&gt;"Encerrado"),"Conferir situação",IF(IF(ISNUMBER(G34),OR(G34&lt;=0,MOD(G34,1)&lt;&gt;0),TRUE),"Conferir vagas",IF(OR(NOT(ISNUMBER(H34)),H34&lt;0),"Conferir tarifa","Válido"))))))))</x:f>
      </x:c>
    </x:row>
    <x:row r="35" ht="42" customHeight="1">
      <x:c r="A35" s="25"/>
      <x:c r="B35" s="30"/>
      <x:c r="C35" s="30"/>
      <x:c r="D35" s="36"/>
      <x:c r="E35" s="36"/>
      <x:c r="F35" s="56"/>
      <x:c r="G35" s="39"/>
      <x:c r="H35" s="43"/>
      <x:c r="I35" s="44" t="str">
        <x:f>IF(O35="Válido",ROUND(G35*H35,2),"")</x:f>
      </x:c>
      <x:c r="J35" s="57" t="str">
        <x:f>IF(O35="","",IF(O35&lt;&gt;"Válido","Conferir cadastro",IF(F35="Encerrado","Encerrado",IF(E35&lt;Auxiliar!$B$4,"Prazo encerrado",IF(D35&gt;Auxiliar!$B$4,"A iniciar",IF(F35="Suspenso","Suspenso","Ativo"))))))</x:f>
      </x:c>
      <x:c r="K35" s="26" t="str">
        <x:f>IF(O35="Válido",E35-Auxiliar!$B$4,"")</x:f>
      </x:c>
      <x:c r="L35" s="26" t="str">
        <x:f>IF(J35="","",IF(J35="Ativo",G35,0))</x:f>
      </x:c>
      <x:c r="M35" s="44" t="str">
        <x:f>IF(J35="","",IF(J35="Ativo",I35,0))</x:f>
      </x:c>
      <x:c r="N35" s="26" t="str">
        <x:f>IF(J35="","",IF(AND(J35="Ativo",K35&gt;=0,K35&lt;=Auxiliar!$B$8),"Vence no período de alerta",IF(J35="Conferir cadastro","Conferir cadastro","")))</x:f>
      </x:c>
      <x:c r="O35" s="26" t="str">
        <x:f>IF(COUNTA(A35:H35)=0,"",IF(A35="","Informe ID",IF(COUNTIFS($A$7:$A$56,A35)&lt;&gt;1,"Duplicado: contrato",IF(OR(B35="",C35=""),"Informe objeto e fornecedor",IF(OR(NOT(ISNUMBER(D35)),NOT(ISNUMBER(E35)),D35&lt;DATE(2000,1,1),E35&gt;DATE(2100,12,31),E35&lt;D35),"Conferir datas",IF(AND(F35&lt;&gt;"Ativo",F35&lt;&gt;"Suspenso",F35&lt;&gt;"Encerrado"),"Conferir situação",IF(IF(ISNUMBER(G35),OR(G35&lt;=0,MOD(G35,1)&lt;&gt;0),TRUE),"Conferir vagas",IF(OR(NOT(ISNUMBER(H35)),H35&lt;0),"Conferir tarifa","Válido"))))))))</x:f>
      </x:c>
    </x:row>
    <x:row r="36" ht="42" customHeight="1">
      <x:c r="A36" s="25"/>
      <x:c r="B36" s="30"/>
      <x:c r="C36" s="30"/>
      <x:c r="D36" s="36"/>
      <x:c r="E36" s="36"/>
      <x:c r="F36" s="56"/>
      <x:c r="G36" s="39"/>
      <x:c r="H36" s="43"/>
      <x:c r="I36" s="44" t="str">
        <x:f>IF(O36="Válido",ROUND(G36*H36,2),"")</x:f>
      </x:c>
      <x:c r="J36" s="57" t="str">
        <x:f>IF(O36="","",IF(O36&lt;&gt;"Válido","Conferir cadastro",IF(F36="Encerrado","Encerrado",IF(E36&lt;Auxiliar!$B$4,"Prazo encerrado",IF(D36&gt;Auxiliar!$B$4,"A iniciar",IF(F36="Suspenso","Suspenso","Ativo"))))))</x:f>
      </x:c>
      <x:c r="K36" s="26" t="str">
        <x:f>IF(O36="Válido",E36-Auxiliar!$B$4,"")</x:f>
      </x:c>
      <x:c r="L36" s="26" t="str">
        <x:f>IF(J36="","",IF(J36="Ativo",G36,0))</x:f>
      </x:c>
      <x:c r="M36" s="44" t="str">
        <x:f>IF(J36="","",IF(J36="Ativo",I36,0))</x:f>
      </x:c>
      <x:c r="N36" s="26" t="str">
        <x:f>IF(J36="","",IF(AND(J36="Ativo",K36&gt;=0,K36&lt;=Auxiliar!$B$8),"Vence no período de alerta",IF(J36="Conferir cadastro","Conferir cadastro","")))</x:f>
      </x:c>
      <x:c r="O36" s="26" t="str">
        <x:f>IF(COUNTA(A36:H36)=0,"",IF(A36="","Informe ID",IF(COUNTIFS($A$7:$A$56,A36)&lt;&gt;1,"Duplicado: contrato",IF(OR(B36="",C36=""),"Informe objeto e fornecedor",IF(OR(NOT(ISNUMBER(D36)),NOT(ISNUMBER(E36)),D36&lt;DATE(2000,1,1),E36&gt;DATE(2100,12,31),E36&lt;D36),"Conferir datas",IF(AND(F36&lt;&gt;"Ativo",F36&lt;&gt;"Suspenso",F36&lt;&gt;"Encerrado"),"Conferir situação",IF(IF(ISNUMBER(G36),OR(G36&lt;=0,MOD(G36,1)&lt;&gt;0),TRUE),"Conferir vagas",IF(OR(NOT(ISNUMBER(H36)),H36&lt;0),"Conferir tarifa","Válido"))))))))</x:f>
      </x:c>
    </x:row>
    <x:row r="37" ht="42" customHeight="1">
      <x:c r="A37" s="25"/>
      <x:c r="B37" s="30"/>
      <x:c r="C37" s="30"/>
      <x:c r="D37" s="36"/>
      <x:c r="E37" s="36"/>
      <x:c r="F37" s="56"/>
      <x:c r="G37" s="39"/>
      <x:c r="H37" s="43"/>
      <x:c r="I37" s="44" t="str">
        <x:f>IF(O37="Válido",ROUND(G37*H37,2),"")</x:f>
      </x:c>
      <x:c r="J37" s="57" t="str">
        <x:f>IF(O37="","",IF(O37&lt;&gt;"Válido","Conferir cadastro",IF(F37="Encerrado","Encerrado",IF(E37&lt;Auxiliar!$B$4,"Prazo encerrado",IF(D37&gt;Auxiliar!$B$4,"A iniciar",IF(F37="Suspenso","Suspenso","Ativo"))))))</x:f>
      </x:c>
      <x:c r="K37" s="26" t="str">
        <x:f>IF(O37="Válido",E37-Auxiliar!$B$4,"")</x:f>
      </x:c>
      <x:c r="L37" s="26" t="str">
        <x:f>IF(J37="","",IF(J37="Ativo",G37,0))</x:f>
      </x:c>
      <x:c r="M37" s="44" t="str">
        <x:f>IF(J37="","",IF(J37="Ativo",I37,0))</x:f>
      </x:c>
      <x:c r="N37" s="26" t="str">
        <x:f>IF(J37="","",IF(AND(J37="Ativo",K37&gt;=0,K37&lt;=Auxiliar!$B$8),"Vence no período de alerta",IF(J37="Conferir cadastro","Conferir cadastro","")))</x:f>
      </x:c>
      <x:c r="O37" s="26" t="str">
        <x:f>IF(COUNTA(A37:H37)=0,"",IF(A37="","Informe ID",IF(COUNTIFS($A$7:$A$56,A37)&lt;&gt;1,"Duplicado: contrato",IF(OR(B37="",C37=""),"Informe objeto e fornecedor",IF(OR(NOT(ISNUMBER(D37)),NOT(ISNUMBER(E37)),D37&lt;DATE(2000,1,1),E37&gt;DATE(2100,12,31),E37&lt;D37),"Conferir datas",IF(AND(F37&lt;&gt;"Ativo",F37&lt;&gt;"Suspenso",F37&lt;&gt;"Encerrado"),"Conferir situação",IF(IF(ISNUMBER(G37),OR(G37&lt;=0,MOD(G37,1)&lt;&gt;0),TRUE),"Conferir vagas",IF(OR(NOT(ISNUMBER(H37)),H37&lt;0),"Conferir tarifa","Válido"))))))))</x:f>
      </x:c>
    </x:row>
    <x:row r="38" ht="42" customHeight="1">
      <x:c r="A38" s="25"/>
      <x:c r="B38" s="30"/>
      <x:c r="C38" s="30"/>
      <x:c r="D38" s="36"/>
      <x:c r="E38" s="36"/>
      <x:c r="F38" s="56"/>
      <x:c r="G38" s="39"/>
      <x:c r="H38" s="43"/>
      <x:c r="I38" s="44" t="str">
        <x:f>IF(O38="Válido",ROUND(G38*H38,2),"")</x:f>
      </x:c>
      <x:c r="J38" s="57" t="str">
        <x:f>IF(O38="","",IF(O38&lt;&gt;"Válido","Conferir cadastro",IF(F38="Encerrado","Encerrado",IF(E38&lt;Auxiliar!$B$4,"Prazo encerrado",IF(D38&gt;Auxiliar!$B$4,"A iniciar",IF(F38="Suspenso","Suspenso","Ativo"))))))</x:f>
      </x:c>
      <x:c r="K38" s="26" t="str">
        <x:f>IF(O38="Válido",E38-Auxiliar!$B$4,"")</x:f>
      </x:c>
      <x:c r="L38" s="26" t="str">
        <x:f>IF(J38="","",IF(J38="Ativo",G38,0))</x:f>
      </x:c>
      <x:c r="M38" s="44" t="str">
        <x:f>IF(J38="","",IF(J38="Ativo",I38,0))</x:f>
      </x:c>
      <x:c r="N38" s="26" t="str">
        <x:f>IF(J38="","",IF(AND(J38="Ativo",K38&gt;=0,K38&lt;=Auxiliar!$B$8),"Vence no período de alerta",IF(J38="Conferir cadastro","Conferir cadastro","")))</x:f>
      </x:c>
      <x:c r="O38" s="26" t="str">
        <x:f>IF(COUNTA(A38:H38)=0,"",IF(A38="","Informe ID",IF(COUNTIFS($A$7:$A$56,A38)&lt;&gt;1,"Duplicado: contrato",IF(OR(B38="",C38=""),"Informe objeto e fornecedor",IF(OR(NOT(ISNUMBER(D38)),NOT(ISNUMBER(E38)),D38&lt;DATE(2000,1,1),E38&gt;DATE(2100,12,31),E38&lt;D38),"Conferir datas",IF(AND(F38&lt;&gt;"Ativo",F38&lt;&gt;"Suspenso",F38&lt;&gt;"Encerrado"),"Conferir situação",IF(IF(ISNUMBER(G38),OR(G38&lt;=0,MOD(G38,1)&lt;&gt;0),TRUE),"Conferir vagas",IF(OR(NOT(ISNUMBER(H38)),H38&lt;0),"Conferir tarifa","Válido"))))))))</x:f>
      </x:c>
    </x:row>
    <x:row r="39" ht="42" customHeight="1">
      <x:c r="A39" s="25"/>
      <x:c r="B39" s="30"/>
      <x:c r="C39" s="30"/>
      <x:c r="D39" s="36"/>
      <x:c r="E39" s="36"/>
      <x:c r="F39" s="56"/>
      <x:c r="G39" s="39"/>
      <x:c r="H39" s="43"/>
      <x:c r="I39" s="44" t="str">
        <x:f>IF(O39="Válido",ROUND(G39*H39,2),"")</x:f>
      </x:c>
      <x:c r="J39" s="57" t="str">
        <x:f>IF(O39="","",IF(O39&lt;&gt;"Válido","Conferir cadastro",IF(F39="Encerrado","Encerrado",IF(E39&lt;Auxiliar!$B$4,"Prazo encerrado",IF(D39&gt;Auxiliar!$B$4,"A iniciar",IF(F39="Suspenso","Suspenso","Ativo"))))))</x:f>
      </x:c>
      <x:c r="K39" s="26" t="str">
        <x:f>IF(O39="Válido",E39-Auxiliar!$B$4,"")</x:f>
      </x:c>
      <x:c r="L39" s="26" t="str">
        <x:f>IF(J39="","",IF(J39="Ativo",G39,0))</x:f>
      </x:c>
      <x:c r="M39" s="44" t="str">
        <x:f>IF(J39="","",IF(J39="Ativo",I39,0))</x:f>
      </x:c>
      <x:c r="N39" s="26" t="str">
        <x:f>IF(J39="","",IF(AND(J39="Ativo",K39&gt;=0,K39&lt;=Auxiliar!$B$8),"Vence no período de alerta",IF(J39="Conferir cadastro","Conferir cadastro","")))</x:f>
      </x:c>
      <x:c r="O39" s="26" t="str">
        <x:f>IF(COUNTA(A39:H39)=0,"",IF(A39="","Informe ID",IF(COUNTIFS($A$7:$A$56,A39)&lt;&gt;1,"Duplicado: contrato",IF(OR(B39="",C39=""),"Informe objeto e fornecedor",IF(OR(NOT(ISNUMBER(D39)),NOT(ISNUMBER(E39)),D39&lt;DATE(2000,1,1),E39&gt;DATE(2100,12,31),E39&lt;D39),"Conferir datas",IF(AND(F39&lt;&gt;"Ativo",F39&lt;&gt;"Suspenso",F39&lt;&gt;"Encerrado"),"Conferir situação",IF(IF(ISNUMBER(G39),OR(G39&lt;=0,MOD(G39,1)&lt;&gt;0),TRUE),"Conferir vagas",IF(OR(NOT(ISNUMBER(H39)),H39&lt;0),"Conferir tarifa","Válido"))))))))</x:f>
      </x:c>
    </x:row>
    <x:row r="40" ht="42" customHeight="1">
      <x:c r="A40" s="25"/>
      <x:c r="B40" s="30"/>
      <x:c r="C40" s="30"/>
      <x:c r="D40" s="36"/>
      <x:c r="E40" s="36"/>
      <x:c r="F40" s="56"/>
      <x:c r="G40" s="39"/>
      <x:c r="H40" s="43"/>
      <x:c r="I40" s="44" t="str">
        <x:f>IF(O40="Válido",ROUND(G40*H40,2),"")</x:f>
      </x:c>
      <x:c r="J40" s="57" t="str">
        <x:f>IF(O40="","",IF(O40&lt;&gt;"Válido","Conferir cadastro",IF(F40="Encerrado","Encerrado",IF(E40&lt;Auxiliar!$B$4,"Prazo encerrado",IF(D40&gt;Auxiliar!$B$4,"A iniciar",IF(F40="Suspenso","Suspenso","Ativo"))))))</x:f>
      </x:c>
      <x:c r="K40" s="26" t="str">
        <x:f>IF(O40="Válido",E40-Auxiliar!$B$4,"")</x:f>
      </x:c>
      <x:c r="L40" s="26" t="str">
        <x:f>IF(J40="","",IF(J40="Ativo",G40,0))</x:f>
      </x:c>
      <x:c r="M40" s="44" t="str">
        <x:f>IF(J40="","",IF(J40="Ativo",I40,0))</x:f>
      </x:c>
      <x:c r="N40" s="26" t="str">
        <x:f>IF(J40="","",IF(AND(J40="Ativo",K40&gt;=0,K40&lt;=Auxiliar!$B$8),"Vence no período de alerta",IF(J40="Conferir cadastro","Conferir cadastro","")))</x:f>
      </x:c>
      <x:c r="O40" s="26" t="str">
        <x:f>IF(COUNTA(A40:H40)=0,"",IF(A40="","Informe ID",IF(COUNTIFS($A$7:$A$56,A40)&lt;&gt;1,"Duplicado: contrato",IF(OR(B40="",C40=""),"Informe objeto e fornecedor",IF(OR(NOT(ISNUMBER(D40)),NOT(ISNUMBER(E40)),D40&lt;DATE(2000,1,1),E40&gt;DATE(2100,12,31),E40&lt;D40),"Conferir datas",IF(AND(F40&lt;&gt;"Ativo",F40&lt;&gt;"Suspenso",F40&lt;&gt;"Encerrado"),"Conferir situação",IF(IF(ISNUMBER(G40),OR(G40&lt;=0,MOD(G40,1)&lt;&gt;0),TRUE),"Conferir vagas",IF(OR(NOT(ISNUMBER(H40)),H40&lt;0),"Conferir tarifa","Válido"))))))))</x:f>
      </x:c>
    </x:row>
    <x:row r="41" ht="42" customHeight="1">
      <x:c r="A41" s="25"/>
      <x:c r="B41" s="30"/>
      <x:c r="C41" s="30"/>
      <x:c r="D41" s="36"/>
      <x:c r="E41" s="36"/>
      <x:c r="F41" s="56"/>
      <x:c r="G41" s="39"/>
      <x:c r="H41" s="43"/>
      <x:c r="I41" s="44" t="str">
        <x:f>IF(O41="Válido",ROUND(G41*H41,2),"")</x:f>
      </x:c>
      <x:c r="J41" s="57" t="str">
        <x:f>IF(O41="","",IF(O41&lt;&gt;"Válido","Conferir cadastro",IF(F41="Encerrado","Encerrado",IF(E41&lt;Auxiliar!$B$4,"Prazo encerrado",IF(D41&gt;Auxiliar!$B$4,"A iniciar",IF(F41="Suspenso","Suspenso","Ativo"))))))</x:f>
      </x:c>
      <x:c r="K41" s="26" t="str">
        <x:f>IF(O41="Válido",E41-Auxiliar!$B$4,"")</x:f>
      </x:c>
      <x:c r="L41" s="26" t="str">
        <x:f>IF(J41="","",IF(J41="Ativo",G41,0))</x:f>
      </x:c>
      <x:c r="M41" s="44" t="str">
        <x:f>IF(J41="","",IF(J41="Ativo",I41,0))</x:f>
      </x:c>
      <x:c r="N41" s="26" t="str">
        <x:f>IF(J41="","",IF(AND(J41="Ativo",K41&gt;=0,K41&lt;=Auxiliar!$B$8),"Vence no período de alerta",IF(J41="Conferir cadastro","Conferir cadastro","")))</x:f>
      </x:c>
      <x:c r="O41" s="26" t="str">
        <x:f>IF(COUNTA(A41:H41)=0,"",IF(A41="","Informe ID",IF(COUNTIFS($A$7:$A$56,A41)&lt;&gt;1,"Duplicado: contrato",IF(OR(B41="",C41=""),"Informe objeto e fornecedor",IF(OR(NOT(ISNUMBER(D41)),NOT(ISNUMBER(E41)),D41&lt;DATE(2000,1,1),E41&gt;DATE(2100,12,31),E41&lt;D41),"Conferir datas",IF(AND(F41&lt;&gt;"Ativo",F41&lt;&gt;"Suspenso",F41&lt;&gt;"Encerrado"),"Conferir situação",IF(IF(ISNUMBER(G41),OR(G41&lt;=0,MOD(G41,1)&lt;&gt;0),TRUE),"Conferir vagas",IF(OR(NOT(ISNUMBER(H41)),H41&lt;0),"Conferir tarifa","Válido"))))))))</x:f>
      </x:c>
    </x:row>
    <x:row r="42" ht="42" customHeight="1">
      <x:c r="A42" s="25"/>
      <x:c r="B42" s="30"/>
      <x:c r="C42" s="30"/>
      <x:c r="D42" s="36"/>
      <x:c r="E42" s="36"/>
      <x:c r="F42" s="56"/>
      <x:c r="G42" s="39"/>
      <x:c r="H42" s="43"/>
      <x:c r="I42" s="44" t="str">
        <x:f>IF(O42="Válido",ROUND(G42*H42,2),"")</x:f>
      </x:c>
      <x:c r="J42" s="57" t="str">
        <x:f>IF(O42="","",IF(O42&lt;&gt;"Válido","Conferir cadastro",IF(F42="Encerrado","Encerrado",IF(E42&lt;Auxiliar!$B$4,"Prazo encerrado",IF(D42&gt;Auxiliar!$B$4,"A iniciar",IF(F42="Suspenso","Suspenso","Ativo"))))))</x:f>
      </x:c>
      <x:c r="K42" s="26" t="str">
        <x:f>IF(O42="Válido",E42-Auxiliar!$B$4,"")</x:f>
      </x:c>
      <x:c r="L42" s="26" t="str">
        <x:f>IF(J42="","",IF(J42="Ativo",G42,0))</x:f>
      </x:c>
      <x:c r="M42" s="44" t="str">
        <x:f>IF(J42="","",IF(J42="Ativo",I42,0))</x:f>
      </x:c>
      <x:c r="N42" s="26" t="str">
        <x:f>IF(J42="","",IF(AND(J42="Ativo",K42&gt;=0,K42&lt;=Auxiliar!$B$8),"Vence no período de alerta",IF(J42="Conferir cadastro","Conferir cadastro","")))</x:f>
      </x:c>
      <x:c r="O42" s="26" t="str">
        <x:f>IF(COUNTA(A42:H42)=0,"",IF(A42="","Informe ID",IF(COUNTIFS($A$7:$A$56,A42)&lt;&gt;1,"Duplicado: contrato",IF(OR(B42="",C42=""),"Informe objeto e fornecedor",IF(OR(NOT(ISNUMBER(D42)),NOT(ISNUMBER(E42)),D42&lt;DATE(2000,1,1),E42&gt;DATE(2100,12,31),E42&lt;D42),"Conferir datas",IF(AND(F42&lt;&gt;"Ativo",F42&lt;&gt;"Suspenso",F42&lt;&gt;"Encerrado"),"Conferir situação",IF(IF(ISNUMBER(G42),OR(G42&lt;=0,MOD(G42,1)&lt;&gt;0),TRUE),"Conferir vagas",IF(OR(NOT(ISNUMBER(H42)),H42&lt;0),"Conferir tarifa","Válido"))))))))</x:f>
      </x:c>
    </x:row>
    <x:row r="43" ht="42" customHeight="1">
      <x:c r="A43" s="25"/>
      <x:c r="B43" s="30"/>
      <x:c r="C43" s="30"/>
      <x:c r="D43" s="36"/>
      <x:c r="E43" s="36"/>
      <x:c r="F43" s="56"/>
      <x:c r="G43" s="39"/>
      <x:c r="H43" s="43"/>
      <x:c r="I43" s="44" t="str">
        <x:f>IF(O43="Válido",ROUND(G43*H43,2),"")</x:f>
      </x:c>
      <x:c r="J43" s="57" t="str">
        <x:f>IF(O43="","",IF(O43&lt;&gt;"Válido","Conferir cadastro",IF(F43="Encerrado","Encerrado",IF(E43&lt;Auxiliar!$B$4,"Prazo encerrado",IF(D43&gt;Auxiliar!$B$4,"A iniciar",IF(F43="Suspenso","Suspenso","Ativo"))))))</x:f>
      </x:c>
      <x:c r="K43" s="26" t="str">
        <x:f>IF(O43="Válido",E43-Auxiliar!$B$4,"")</x:f>
      </x:c>
      <x:c r="L43" s="26" t="str">
        <x:f>IF(J43="","",IF(J43="Ativo",G43,0))</x:f>
      </x:c>
      <x:c r="M43" s="44" t="str">
        <x:f>IF(J43="","",IF(J43="Ativo",I43,0))</x:f>
      </x:c>
      <x:c r="N43" s="26" t="str">
        <x:f>IF(J43="","",IF(AND(J43="Ativo",K43&gt;=0,K43&lt;=Auxiliar!$B$8),"Vence no período de alerta",IF(J43="Conferir cadastro","Conferir cadastro","")))</x:f>
      </x:c>
      <x:c r="O43" s="26" t="str">
        <x:f>IF(COUNTA(A43:H43)=0,"",IF(A43="","Informe ID",IF(COUNTIFS($A$7:$A$56,A43)&lt;&gt;1,"Duplicado: contrato",IF(OR(B43="",C43=""),"Informe objeto e fornecedor",IF(OR(NOT(ISNUMBER(D43)),NOT(ISNUMBER(E43)),D43&lt;DATE(2000,1,1),E43&gt;DATE(2100,12,31),E43&lt;D43),"Conferir datas",IF(AND(F43&lt;&gt;"Ativo",F43&lt;&gt;"Suspenso",F43&lt;&gt;"Encerrado"),"Conferir situação",IF(IF(ISNUMBER(G43),OR(G43&lt;=0,MOD(G43,1)&lt;&gt;0),TRUE),"Conferir vagas",IF(OR(NOT(ISNUMBER(H43)),H43&lt;0),"Conferir tarifa","Válido"))))))))</x:f>
      </x:c>
    </x:row>
    <x:row r="44" ht="42" customHeight="1">
      <x:c r="A44" s="25"/>
      <x:c r="B44" s="30"/>
      <x:c r="C44" s="30"/>
      <x:c r="D44" s="36"/>
      <x:c r="E44" s="36"/>
      <x:c r="F44" s="56"/>
      <x:c r="G44" s="39"/>
      <x:c r="H44" s="43"/>
      <x:c r="I44" s="44" t="str">
        <x:f>IF(O44="Válido",ROUND(G44*H44,2),"")</x:f>
      </x:c>
      <x:c r="J44" s="57" t="str">
        <x:f>IF(O44="","",IF(O44&lt;&gt;"Válido","Conferir cadastro",IF(F44="Encerrado","Encerrado",IF(E44&lt;Auxiliar!$B$4,"Prazo encerrado",IF(D44&gt;Auxiliar!$B$4,"A iniciar",IF(F44="Suspenso","Suspenso","Ativo"))))))</x:f>
      </x:c>
      <x:c r="K44" s="26" t="str">
        <x:f>IF(O44="Válido",E44-Auxiliar!$B$4,"")</x:f>
      </x:c>
      <x:c r="L44" s="26" t="str">
        <x:f>IF(J44="","",IF(J44="Ativo",G44,0))</x:f>
      </x:c>
      <x:c r="M44" s="44" t="str">
        <x:f>IF(J44="","",IF(J44="Ativo",I44,0))</x:f>
      </x:c>
      <x:c r="N44" s="26" t="str">
        <x:f>IF(J44="","",IF(AND(J44="Ativo",K44&gt;=0,K44&lt;=Auxiliar!$B$8),"Vence no período de alerta",IF(J44="Conferir cadastro","Conferir cadastro","")))</x:f>
      </x:c>
      <x:c r="O44" s="26" t="str">
        <x:f>IF(COUNTA(A44:H44)=0,"",IF(A44="","Informe ID",IF(COUNTIFS($A$7:$A$56,A44)&lt;&gt;1,"Duplicado: contrato",IF(OR(B44="",C44=""),"Informe objeto e fornecedor",IF(OR(NOT(ISNUMBER(D44)),NOT(ISNUMBER(E44)),D44&lt;DATE(2000,1,1),E44&gt;DATE(2100,12,31),E44&lt;D44),"Conferir datas",IF(AND(F44&lt;&gt;"Ativo",F44&lt;&gt;"Suspenso",F44&lt;&gt;"Encerrado"),"Conferir situação",IF(IF(ISNUMBER(G44),OR(G44&lt;=0,MOD(G44,1)&lt;&gt;0),TRUE),"Conferir vagas",IF(OR(NOT(ISNUMBER(H44)),H44&lt;0),"Conferir tarifa","Válido"))))))))</x:f>
      </x:c>
    </x:row>
    <x:row r="45" ht="42" customHeight="1">
      <x:c r="A45" s="25"/>
      <x:c r="B45" s="30"/>
      <x:c r="C45" s="30"/>
      <x:c r="D45" s="36"/>
      <x:c r="E45" s="36"/>
      <x:c r="F45" s="56"/>
      <x:c r="G45" s="39"/>
      <x:c r="H45" s="43"/>
      <x:c r="I45" s="44" t="str">
        <x:f>IF(O45="Válido",ROUND(G45*H45,2),"")</x:f>
      </x:c>
      <x:c r="J45" s="57" t="str">
        <x:f>IF(O45="","",IF(O45&lt;&gt;"Válido","Conferir cadastro",IF(F45="Encerrado","Encerrado",IF(E45&lt;Auxiliar!$B$4,"Prazo encerrado",IF(D45&gt;Auxiliar!$B$4,"A iniciar",IF(F45="Suspenso","Suspenso","Ativo"))))))</x:f>
      </x:c>
      <x:c r="K45" s="26" t="str">
        <x:f>IF(O45="Válido",E45-Auxiliar!$B$4,"")</x:f>
      </x:c>
      <x:c r="L45" s="26" t="str">
        <x:f>IF(J45="","",IF(J45="Ativo",G45,0))</x:f>
      </x:c>
      <x:c r="M45" s="44" t="str">
        <x:f>IF(J45="","",IF(J45="Ativo",I45,0))</x:f>
      </x:c>
      <x:c r="N45" s="26" t="str">
        <x:f>IF(J45="","",IF(AND(J45="Ativo",K45&gt;=0,K45&lt;=Auxiliar!$B$8),"Vence no período de alerta",IF(J45="Conferir cadastro","Conferir cadastro","")))</x:f>
      </x:c>
      <x:c r="O45" s="26" t="str">
        <x:f>IF(COUNTA(A45:H45)=0,"",IF(A45="","Informe ID",IF(COUNTIFS($A$7:$A$56,A45)&lt;&gt;1,"Duplicado: contrato",IF(OR(B45="",C45=""),"Informe objeto e fornecedor",IF(OR(NOT(ISNUMBER(D45)),NOT(ISNUMBER(E45)),D45&lt;DATE(2000,1,1),E45&gt;DATE(2100,12,31),E45&lt;D45),"Conferir datas",IF(AND(F45&lt;&gt;"Ativo",F45&lt;&gt;"Suspenso",F45&lt;&gt;"Encerrado"),"Conferir situação",IF(IF(ISNUMBER(G45),OR(G45&lt;=0,MOD(G45,1)&lt;&gt;0),TRUE),"Conferir vagas",IF(OR(NOT(ISNUMBER(H45)),H45&lt;0),"Conferir tarifa","Válido"))))))))</x:f>
      </x:c>
    </x:row>
    <x:row r="46" ht="42" customHeight="1">
      <x:c r="A46" s="25"/>
      <x:c r="B46" s="30"/>
      <x:c r="C46" s="30"/>
      <x:c r="D46" s="36"/>
      <x:c r="E46" s="36"/>
      <x:c r="F46" s="56"/>
      <x:c r="G46" s="39"/>
      <x:c r="H46" s="43"/>
      <x:c r="I46" s="44" t="str">
        <x:f>IF(O46="Válido",ROUND(G46*H46,2),"")</x:f>
      </x:c>
      <x:c r="J46" s="57" t="str">
        <x:f>IF(O46="","",IF(O46&lt;&gt;"Válido","Conferir cadastro",IF(F46="Encerrado","Encerrado",IF(E46&lt;Auxiliar!$B$4,"Prazo encerrado",IF(D46&gt;Auxiliar!$B$4,"A iniciar",IF(F46="Suspenso","Suspenso","Ativo"))))))</x:f>
      </x:c>
      <x:c r="K46" s="26" t="str">
        <x:f>IF(O46="Válido",E46-Auxiliar!$B$4,"")</x:f>
      </x:c>
      <x:c r="L46" s="26" t="str">
        <x:f>IF(J46="","",IF(J46="Ativo",G46,0))</x:f>
      </x:c>
      <x:c r="M46" s="44" t="str">
        <x:f>IF(J46="","",IF(J46="Ativo",I46,0))</x:f>
      </x:c>
      <x:c r="N46" s="26" t="str">
        <x:f>IF(J46="","",IF(AND(J46="Ativo",K46&gt;=0,K46&lt;=Auxiliar!$B$8),"Vence no período de alerta",IF(J46="Conferir cadastro","Conferir cadastro","")))</x:f>
      </x:c>
      <x:c r="O46" s="26" t="str">
        <x:f>IF(COUNTA(A46:H46)=0,"",IF(A46="","Informe ID",IF(COUNTIFS($A$7:$A$56,A46)&lt;&gt;1,"Duplicado: contrato",IF(OR(B46="",C46=""),"Informe objeto e fornecedor",IF(OR(NOT(ISNUMBER(D46)),NOT(ISNUMBER(E46)),D46&lt;DATE(2000,1,1),E46&gt;DATE(2100,12,31),E46&lt;D46),"Conferir datas",IF(AND(F46&lt;&gt;"Ativo",F46&lt;&gt;"Suspenso",F46&lt;&gt;"Encerrado"),"Conferir situação",IF(IF(ISNUMBER(G46),OR(G46&lt;=0,MOD(G46,1)&lt;&gt;0),TRUE),"Conferir vagas",IF(OR(NOT(ISNUMBER(H46)),H46&lt;0),"Conferir tarifa","Válido"))))))))</x:f>
      </x:c>
    </x:row>
    <x:row r="47" ht="42" customHeight="1">
      <x:c r="A47" s="25"/>
      <x:c r="B47" s="30"/>
      <x:c r="C47" s="30"/>
      <x:c r="D47" s="36"/>
      <x:c r="E47" s="36"/>
      <x:c r="F47" s="56"/>
      <x:c r="G47" s="39"/>
      <x:c r="H47" s="43"/>
      <x:c r="I47" s="44" t="str">
        <x:f>IF(O47="Válido",ROUND(G47*H47,2),"")</x:f>
      </x:c>
      <x:c r="J47" s="57" t="str">
        <x:f>IF(O47="","",IF(O47&lt;&gt;"Válido","Conferir cadastro",IF(F47="Encerrado","Encerrado",IF(E47&lt;Auxiliar!$B$4,"Prazo encerrado",IF(D47&gt;Auxiliar!$B$4,"A iniciar",IF(F47="Suspenso","Suspenso","Ativo"))))))</x:f>
      </x:c>
      <x:c r="K47" s="26" t="str">
        <x:f>IF(O47="Válido",E47-Auxiliar!$B$4,"")</x:f>
      </x:c>
      <x:c r="L47" s="26" t="str">
        <x:f>IF(J47="","",IF(J47="Ativo",G47,0))</x:f>
      </x:c>
      <x:c r="M47" s="44" t="str">
        <x:f>IF(J47="","",IF(J47="Ativo",I47,0))</x:f>
      </x:c>
      <x:c r="N47" s="26" t="str">
        <x:f>IF(J47="","",IF(AND(J47="Ativo",K47&gt;=0,K47&lt;=Auxiliar!$B$8),"Vence no período de alerta",IF(J47="Conferir cadastro","Conferir cadastro","")))</x:f>
      </x:c>
      <x:c r="O47" s="26" t="str">
        <x:f>IF(COUNTA(A47:H47)=0,"",IF(A47="","Informe ID",IF(COUNTIFS($A$7:$A$56,A47)&lt;&gt;1,"Duplicado: contrato",IF(OR(B47="",C47=""),"Informe objeto e fornecedor",IF(OR(NOT(ISNUMBER(D47)),NOT(ISNUMBER(E47)),D47&lt;DATE(2000,1,1),E47&gt;DATE(2100,12,31),E47&lt;D47),"Conferir datas",IF(AND(F47&lt;&gt;"Ativo",F47&lt;&gt;"Suspenso",F47&lt;&gt;"Encerrado"),"Conferir situação",IF(IF(ISNUMBER(G47),OR(G47&lt;=0,MOD(G47,1)&lt;&gt;0),TRUE),"Conferir vagas",IF(OR(NOT(ISNUMBER(H47)),H47&lt;0),"Conferir tarifa","Válido"))))))))</x:f>
      </x:c>
    </x:row>
    <x:row r="48" ht="42" customHeight="1">
      <x:c r="A48" s="25"/>
      <x:c r="B48" s="30"/>
      <x:c r="C48" s="30"/>
      <x:c r="D48" s="36"/>
      <x:c r="E48" s="36"/>
      <x:c r="F48" s="56"/>
      <x:c r="G48" s="39"/>
      <x:c r="H48" s="43"/>
      <x:c r="I48" s="44" t="str">
        <x:f>IF(O48="Válido",ROUND(G48*H48,2),"")</x:f>
      </x:c>
      <x:c r="J48" s="57" t="str">
        <x:f>IF(O48="","",IF(O48&lt;&gt;"Válido","Conferir cadastro",IF(F48="Encerrado","Encerrado",IF(E48&lt;Auxiliar!$B$4,"Prazo encerrado",IF(D48&gt;Auxiliar!$B$4,"A iniciar",IF(F48="Suspenso","Suspenso","Ativo"))))))</x:f>
      </x:c>
      <x:c r="K48" s="26" t="str">
        <x:f>IF(O48="Válido",E48-Auxiliar!$B$4,"")</x:f>
      </x:c>
      <x:c r="L48" s="26" t="str">
        <x:f>IF(J48="","",IF(J48="Ativo",G48,0))</x:f>
      </x:c>
      <x:c r="M48" s="44" t="str">
        <x:f>IF(J48="","",IF(J48="Ativo",I48,0))</x:f>
      </x:c>
      <x:c r="N48" s="26" t="str">
        <x:f>IF(J48="","",IF(AND(J48="Ativo",K48&gt;=0,K48&lt;=Auxiliar!$B$8),"Vence no período de alerta",IF(J48="Conferir cadastro","Conferir cadastro","")))</x:f>
      </x:c>
      <x:c r="O48" s="26" t="str">
        <x:f>IF(COUNTA(A48:H48)=0,"",IF(A48="","Informe ID",IF(COUNTIFS($A$7:$A$56,A48)&lt;&gt;1,"Duplicado: contrato",IF(OR(B48="",C48=""),"Informe objeto e fornecedor",IF(OR(NOT(ISNUMBER(D48)),NOT(ISNUMBER(E48)),D48&lt;DATE(2000,1,1),E48&gt;DATE(2100,12,31),E48&lt;D48),"Conferir datas",IF(AND(F48&lt;&gt;"Ativo",F48&lt;&gt;"Suspenso",F48&lt;&gt;"Encerrado"),"Conferir situação",IF(IF(ISNUMBER(G48),OR(G48&lt;=0,MOD(G48,1)&lt;&gt;0),TRUE),"Conferir vagas",IF(OR(NOT(ISNUMBER(H48)),H48&lt;0),"Conferir tarifa","Válido"))))))))</x:f>
      </x:c>
    </x:row>
    <x:row r="49" ht="42" customHeight="1">
      <x:c r="A49" s="25"/>
      <x:c r="B49" s="30"/>
      <x:c r="C49" s="30"/>
      <x:c r="D49" s="36"/>
      <x:c r="E49" s="36"/>
      <x:c r="F49" s="56"/>
      <x:c r="G49" s="39"/>
      <x:c r="H49" s="43"/>
      <x:c r="I49" s="44" t="str">
        <x:f>IF(O49="Válido",ROUND(G49*H49,2),"")</x:f>
      </x:c>
      <x:c r="J49" s="57" t="str">
        <x:f>IF(O49="","",IF(O49&lt;&gt;"Válido","Conferir cadastro",IF(F49="Encerrado","Encerrado",IF(E49&lt;Auxiliar!$B$4,"Prazo encerrado",IF(D49&gt;Auxiliar!$B$4,"A iniciar",IF(F49="Suspenso","Suspenso","Ativo"))))))</x:f>
      </x:c>
      <x:c r="K49" s="26" t="str">
        <x:f>IF(O49="Válido",E49-Auxiliar!$B$4,"")</x:f>
      </x:c>
      <x:c r="L49" s="26" t="str">
        <x:f>IF(J49="","",IF(J49="Ativo",G49,0))</x:f>
      </x:c>
      <x:c r="M49" s="44" t="str">
        <x:f>IF(J49="","",IF(J49="Ativo",I49,0))</x:f>
      </x:c>
      <x:c r="N49" s="26" t="str">
        <x:f>IF(J49="","",IF(AND(J49="Ativo",K49&gt;=0,K49&lt;=Auxiliar!$B$8),"Vence no período de alerta",IF(J49="Conferir cadastro","Conferir cadastro","")))</x:f>
      </x:c>
      <x:c r="O49" s="26" t="str">
        <x:f>IF(COUNTA(A49:H49)=0,"",IF(A49="","Informe ID",IF(COUNTIFS($A$7:$A$56,A49)&lt;&gt;1,"Duplicado: contrato",IF(OR(B49="",C49=""),"Informe objeto e fornecedor",IF(OR(NOT(ISNUMBER(D49)),NOT(ISNUMBER(E49)),D49&lt;DATE(2000,1,1),E49&gt;DATE(2100,12,31),E49&lt;D49),"Conferir datas",IF(AND(F49&lt;&gt;"Ativo",F49&lt;&gt;"Suspenso",F49&lt;&gt;"Encerrado"),"Conferir situação",IF(IF(ISNUMBER(G49),OR(G49&lt;=0,MOD(G49,1)&lt;&gt;0),TRUE),"Conferir vagas",IF(OR(NOT(ISNUMBER(H49)),H49&lt;0),"Conferir tarifa","Válido"))))))))</x:f>
      </x:c>
    </x:row>
    <x:row r="50" ht="42" customHeight="1">
      <x:c r="A50" s="25"/>
      <x:c r="B50" s="30"/>
      <x:c r="C50" s="30"/>
      <x:c r="D50" s="36"/>
      <x:c r="E50" s="36"/>
      <x:c r="F50" s="56"/>
      <x:c r="G50" s="39"/>
      <x:c r="H50" s="43"/>
      <x:c r="I50" s="44" t="str">
        <x:f>IF(O50="Válido",ROUND(G50*H50,2),"")</x:f>
      </x:c>
      <x:c r="J50" s="57" t="str">
        <x:f>IF(O50="","",IF(O50&lt;&gt;"Válido","Conferir cadastro",IF(F50="Encerrado","Encerrado",IF(E50&lt;Auxiliar!$B$4,"Prazo encerrado",IF(D50&gt;Auxiliar!$B$4,"A iniciar",IF(F50="Suspenso","Suspenso","Ativo"))))))</x:f>
      </x:c>
      <x:c r="K50" s="26" t="str">
        <x:f>IF(O50="Válido",E50-Auxiliar!$B$4,"")</x:f>
      </x:c>
      <x:c r="L50" s="26" t="str">
        <x:f>IF(J50="","",IF(J50="Ativo",G50,0))</x:f>
      </x:c>
      <x:c r="M50" s="44" t="str">
        <x:f>IF(J50="","",IF(J50="Ativo",I50,0))</x:f>
      </x:c>
      <x:c r="N50" s="26" t="str">
        <x:f>IF(J50="","",IF(AND(J50="Ativo",K50&gt;=0,K50&lt;=Auxiliar!$B$8),"Vence no período de alerta",IF(J50="Conferir cadastro","Conferir cadastro","")))</x:f>
      </x:c>
      <x:c r="O50" s="26" t="str">
        <x:f>IF(COUNTA(A50:H50)=0,"",IF(A50="","Informe ID",IF(COUNTIFS($A$7:$A$56,A50)&lt;&gt;1,"Duplicado: contrato",IF(OR(B50="",C50=""),"Informe objeto e fornecedor",IF(OR(NOT(ISNUMBER(D50)),NOT(ISNUMBER(E50)),D50&lt;DATE(2000,1,1),E50&gt;DATE(2100,12,31),E50&lt;D50),"Conferir datas",IF(AND(F50&lt;&gt;"Ativo",F50&lt;&gt;"Suspenso",F50&lt;&gt;"Encerrado"),"Conferir situação",IF(IF(ISNUMBER(G50),OR(G50&lt;=0,MOD(G50,1)&lt;&gt;0),TRUE),"Conferir vagas",IF(OR(NOT(ISNUMBER(H50)),H50&lt;0),"Conferir tarifa","Válido"))))))))</x:f>
      </x:c>
    </x:row>
    <x:row r="51" ht="42" customHeight="1">
      <x:c r="A51" s="25"/>
      <x:c r="B51" s="30"/>
      <x:c r="C51" s="30"/>
      <x:c r="D51" s="36"/>
      <x:c r="E51" s="36"/>
      <x:c r="F51" s="56"/>
      <x:c r="G51" s="39"/>
      <x:c r="H51" s="43"/>
      <x:c r="I51" s="44" t="str">
        <x:f>IF(O51="Válido",ROUND(G51*H51,2),"")</x:f>
      </x:c>
      <x:c r="J51" s="57" t="str">
        <x:f>IF(O51="","",IF(O51&lt;&gt;"Válido","Conferir cadastro",IF(F51="Encerrado","Encerrado",IF(E51&lt;Auxiliar!$B$4,"Prazo encerrado",IF(D51&gt;Auxiliar!$B$4,"A iniciar",IF(F51="Suspenso","Suspenso","Ativo"))))))</x:f>
      </x:c>
      <x:c r="K51" s="26" t="str">
        <x:f>IF(O51="Válido",E51-Auxiliar!$B$4,"")</x:f>
      </x:c>
      <x:c r="L51" s="26" t="str">
        <x:f>IF(J51="","",IF(J51="Ativo",G51,0))</x:f>
      </x:c>
      <x:c r="M51" s="44" t="str">
        <x:f>IF(J51="","",IF(J51="Ativo",I51,0))</x:f>
      </x:c>
      <x:c r="N51" s="26" t="str">
        <x:f>IF(J51="","",IF(AND(J51="Ativo",K51&gt;=0,K51&lt;=Auxiliar!$B$8),"Vence no período de alerta",IF(J51="Conferir cadastro","Conferir cadastro","")))</x:f>
      </x:c>
      <x:c r="O51" s="26" t="str">
        <x:f>IF(COUNTA(A51:H51)=0,"",IF(A51="","Informe ID",IF(COUNTIFS($A$7:$A$56,A51)&lt;&gt;1,"Duplicado: contrato",IF(OR(B51="",C51=""),"Informe objeto e fornecedor",IF(OR(NOT(ISNUMBER(D51)),NOT(ISNUMBER(E51)),D51&lt;DATE(2000,1,1),E51&gt;DATE(2100,12,31),E51&lt;D51),"Conferir datas",IF(AND(F51&lt;&gt;"Ativo",F51&lt;&gt;"Suspenso",F51&lt;&gt;"Encerrado"),"Conferir situação",IF(IF(ISNUMBER(G51),OR(G51&lt;=0,MOD(G51,1)&lt;&gt;0),TRUE),"Conferir vagas",IF(OR(NOT(ISNUMBER(H51)),H51&lt;0),"Conferir tarifa","Válido"))))))))</x:f>
      </x:c>
    </x:row>
    <x:row r="52" ht="42" customHeight="1">
      <x:c r="A52" s="25"/>
      <x:c r="B52" s="30"/>
      <x:c r="C52" s="30"/>
      <x:c r="D52" s="36"/>
      <x:c r="E52" s="36"/>
      <x:c r="F52" s="56"/>
      <x:c r="G52" s="39"/>
      <x:c r="H52" s="43"/>
      <x:c r="I52" s="44" t="str">
        <x:f>IF(O52="Válido",ROUND(G52*H52,2),"")</x:f>
      </x:c>
      <x:c r="J52" s="57" t="str">
        <x:f>IF(O52="","",IF(O52&lt;&gt;"Válido","Conferir cadastro",IF(F52="Encerrado","Encerrado",IF(E52&lt;Auxiliar!$B$4,"Prazo encerrado",IF(D52&gt;Auxiliar!$B$4,"A iniciar",IF(F52="Suspenso","Suspenso","Ativo"))))))</x:f>
      </x:c>
      <x:c r="K52" s="26" t="str">
        <x:f>IF(O52="Válido",E52-Auxiliar!$B$4,"")</x:f>
      </x:c>
      <x:c r="L52" s="26" t="str">
        <x:f>IF(J52="","",IF(J52="Ativo",G52,0))</x:f>
      </x:c>
      <x:c r="M52" s="44" t="str">
        <x:f>IF(J52="","",IF(J52="Ativo",I52,0))</x:f>
      </x:c>
      <x:c r="N52" s="26" t="str">
        <x:f>IF(J52="","",IF(AND(J52="Ativo",K52&gt;=0,K52&lt;=Auxiliar!$B$8),"Vence no período de alerta",IF(J52="Conferir cadastro","Conferir cadastro","")))</x:f>
      </x:c>
      <x:c r="O52" s="26" t="str">
        <x:f>IF(COUNTA(A52:H52)=0,"",IF(A52="","Informe ID",IF(COUNTIFS($A$7:$A$56,A52)&lt;&gt;1,"Duplicado: contrato",IF(OR(B52="",C52=""),"Informe objeto e fornecedor",IF(OR(NOT(ISNUMBER(D52)),NOT(ISNUMBER(E52)),D52&lt;DATE(2000,1,1),E52&gt;DATE(2100,12,31),E52&lt;D52),"Conferir datas",IF(AND(F52&lt;&gt;"Ativo",F52&lt;&gt;"Suspenso",F52&lt;&gt;"Encerrado"),"Conferir situação",IF(IF(ISNUMBER(G52),OR(G52&lt;=0,MOD(G52,1)&lt;&gt;0),TRUE),"Conferir vagas",IF(OR(NOT(ISNUMBER(H52)),H52&lt;0),"Conferir tarifa","Válido"))))))))</x:f>
      </x:c>
    </x:row>
    <x:row r="53" ht="42" customHeight="1">
      <x:c r="A53" s="25"/>
      <x:c r="B53" s="30"/>
      <x:c r="C53" s="30"/>
      <x:c r="D53" s="36"/>
      <x:c r="E53" s="36"/>
      <x:c r="F53" s="56"/>
      <x:c r="G53" s="39"/>
      <x:c r="H53" s="43"/>
      <x:c r="I53" s="44" t="str">
        <x:f>IF(O53="Válido",ROUND(G53*H53,2),"")</x:f>
      </x:c>
      <x:c r="J53" s="57" t="str">
        <x:f>IF(O53="","",IF(O53&lt;&gt;"Válido","Conferir cadastro",IF(F53="Encerrado","Encerrado",IF(E53&lt;Auxiliar!$B$4,"Prazo encerrado",IF(D53&gt;Auxiliar!$B$4,"A iniciar",IF(F53="Suspenso","Suspenso","Ativo"))))))</x:f>
      </x:c>
      <x:c r="K53" s="26" t="str">
        <x:f>IF(O53="Válido",E53-Auxiliar!$B$4,"")</x:f>
      </x:c>
      <x:c r="L53" s="26" t="str">
        <x:f>IF(J53="","",IF(J53="Ativo",G53,0))</x:f>
      </x:c>
      <x:c r="M53" s="44" t="str">
        <x:f>IF(J53="","",IF(J53="Ativo",I53,0))</x:f>
      </x:c>
      <x:c r="N53" s="26" t="str">
        <x:f>IF(J53="","",IF(AND(J53="Ativo",K53&gt;=0,K53&lt;=Auxiliar!$B$8),"Vence no período de alerta",IF(J53="Conferir cadastro","Conferir cadastro","")))</x:f>
      </x:c>
      <x:c r="O53" s="26" t="str">
        <x:f>IF(COUNTA(A53:H53)=0,"",IF(A53="","Informe ID",IF(COUNTIFS($A$7:$A$56,A53)&lt;&gt;1,"Duplicado: contrato",IF(OR(B53="",C53=""),"Informe objeto e fornecedor",IF(OR(NOT(ISNUMBER(D53)),NOT(ISNUMBER(E53)),D53&lt;DATE(2000,1,1),E53&gt;DATE(2100,12,31),E53&lt;D53),"Conferir datas",IF(AND(F53&lt;&gt;"Ativo",F53&lt;&gt;"Suspenso",F53&lt;&gt;"Encerrado"),"Conferir situação",IF(IF(ISNUMBER(G53),OR(G53&lt;=0,MOD(G53,1)&lt;&gt;0),TRUE),"Conferir vagas",IF(OR(NOT(ISNUMBER(H53)),H53&lt;0),"Conferir tarifa","Válido"))))))))</x:f>
      </x:c>
    </x:row>
    <x:row r="54" ht="42" customHeight="1">
      <x:c r="A54" s="25"/>
      <x:c r="B54" s="30"/>
      <x:c r="C54" s="30"/>
      <x:c r="D54" s="36"/>
      <x:c r="E54" s="36"/>
      <x:c r="F54" s="56"/>
      <x:c r="G54" s="39"/>
      <x:c r="H54" s="43"/>
      <x:c r="I54" s="44" t="str">
        <x:f>IF(O54="Válido",ROUND(G54*H54,2),"")</x:f>
      </x:c>
      <x:c r="J54" s="57" t="str">
        <x:f>IF(O54="","",IF(O54&lt;&gt;"Válido","Conferir cadastro",IF(F54="Encerrado","Encerrado",IF(E54&lt;Auxiliar!$B$4,"Prazo encerrado",IF(D54&gt;Auxiliar!$B$4,"A iniciar",IF(F54="Suspenso","Suspenso","Ativo"))))))</x:f>
      </x:c>
      <x:c r="K54" s="26" t="str">
        <x:f>IF(O54="Válido",E54-Auxiliar!$B$4,"")</x:f>
      </x:c>
      <x:c r="L54" s="26" t="str">
        <x:f>IF(J54="","",IF(J54="Ativo",G54,0))</x:f>
      </x:c>
      <x:c r="M54" s="44" t="str">
        <x:f>IF(J54="","",IF(J54="Ativo",I54,0))</x:f>
      </x:c>
      <x:c r="N54" s="26" t="str">
        <x:f>IF(J54="","",IF(AND(J54="Ativo",K54&gt;=0,K54&lt;=Auxiliar!$B$8),"Vence no período de alerta",IF(J54="Conferir cadastro","Conferir cadastro","")))</x:f>
      </x:c>
      <x:c r="O54" s="26" t="str">
        <x:f>IF(COUNTA(A54:H54)=0,"",IF(A54="","Informe ID",IF(COUNTIFS($A$7:$A$56,A54)&lt;&gt;1,"Duplicado: contrato",IF(OR(B54="",C54=""),"Informe objeto e fornecedor",IF(OR(NOT(ISNUMBER(D54)),NOT(ISNUMBER(E54)),D54&lt;DATE(2000,1,1),E54&gt;DATE(2100,12,31),E54&lt;D54),"Conferir datas",IF(AND(F54&lt;&gt;"Ativo",F54&lt;&gt;"Suspenso",F54&lt;&gt;"Encerrado"),"Conferir situação",IF(IF(ISNUMBER(G54),OR(G54&lt;=0,MOD(G54,1)&lt;&gt;0),TRUE),"Conferir vagas",IF(OR(NOT(ISNUMBER(H54)),H54&lt;0),"Conferir tarifa","Válido"))))))))</x:f>
      </x:c>
    </x:row>
    <x:row r="55" ht="42" customHeight="1">
      <x:c r="A55" s="25"/>
      <x:c r="B55" s="30"/>
      <x:c r="C55" s="30"/>
      <x:c r="D55" s="36"/>
      <x:c r="E55" s="36"/>
      <x:c r="F55" s="56"/>
      <x:c r="G55" s="39"/>
      <x:c r="H55" s="43"/>
      <x:c r="I55" s="44" t="str">
        <x:f>IF(O55="Válido",ROUND(G55*H55,2),"")</x:f>
      </x:c>
      <x:c r="J55" s="57" t="str">
        <x:f>IF(O55="","",IF(O55&lt;&gt;"Válido","Conferir cadastro",IF(F55="Encerrado","Encerrado",IF(E55&lt;Auxiliar!$B$4,"Prazo encerrado",IF(D55&gt;Auxiliar!$B$4,"A iniciar",IF(F55="Suspenso","Suspenso","Ativo"))))))</x:f>
      </x:c>
      <x:c r="K55" s="26" t="str">
        <x:f>IF(O55="Válido",E55-Auxiliar!$B$4,"")</x:f>
      </x:c>
      <x:c r="L55" s="26" t="str">
        <x:f>IF(J55="","",IF(J55="Ativo",G55,0))</x:f>
      </x:c>
      <x:c r="M55" s="44" t="str">
        <x:f>IF(J55="","",IF(J55="Ativo",I55,0))</x:f>
      </x:c>
      <x:c r="N55" s="26" t="str">
        <x:f>IF(J55="","",IF(AND(J55="Ativo",K55&gt;=0,K55&lt;=Auxiliar!$B$8),"Vence no período de alerta",IF(J55="Conferir cadastro","Conferir cadastro","")))</x:f>
      </x:c>
      <x:c r="O55" s="26" t="str">
        <x:f>IF(COUNTA(A55:H55)=0,"",IF(A55="","Informe ID",IF(COUNTIFS($A$7:$A$56,A55)&lt;&gt;1,"Duplicado: contrato",IF(OR(B55="",C55=""),"Informe objeto e fornecedor",IF(OR(NOT(ISNUMBER(D55)),NOT(ISNUMBER(E55)),D55&lt;DATE(2000,1,1),E55&gt;DATE(2100,12,31),E55&lt;D55),"Conferir datas",IF(AND(F55&lt;&gt;"Ativo",F55&lt;&gt;"Suspenso",F55&lt;&gt;"Encerrado"),"Conferir situação",IF(IF(ISNUMBER(G55),OR(G55&lt;=0,MOD(G55,1)&lt;&gt;0),TRUE),"Conferir vagas",IF(OR(NOT(ISNUMBER(H55)),H55&lt;0),"Conferir tarifa","Válido"))))))))</x:f>
      </x:c>
    </x:row>
    <x:row r="56" ht="42" customHeight="1">
      <x:c r="A56" s="27"/>
      <x:c r="B56" s="31"/>
      <x:c r="C56" s="31"/>
      <x:c r="D56" s="37"/>
      <x:c r="E56" s="37"/>
      <x:c r="F56" s="58"/>
      <x:c r="G56" s="40"/>
      <x:c r="H56" s="45"/>
      <x:c r="I56" s="46" t="str">
        <x:f>IF(O56="Válido",ROUND(G56*H56,2),"")</x:f>
      </x:c>
      <x:c r="J56" s="59" t="str">
        <x:f>IF(O56="","",IF(O56&lt;&gt;"Válido","Conferir cadastro",IF(F56="Encerrado","Encerrado",IF(E56&lt;Auxiliar!$B$4,"Prazo encerrado",IF(D56&gt;Auxiliar!$B$4,"A iniciar",IF(F56="Suspenso","Suspenso","Ativo"))))))</x:f>
      </x:c>
      <x:c r="K56" s="28" t="str">
        <x:f>IF(O56="Válido",E56-Auxiliar!$B$4,"")</x:f>
      </x:c>
      <x:c r="L56" s="28" t="str">
        <x:f>IF(J56="","",IF(J56="Ativo",G56,0))</x:f>
      </x:c>
      <x:c r="M56" s="46" t="str">
        <x:f>IF(J56="","",IF(J56="Ativo",I56,0))</x:f>
      </x:c>
      <x:c r="N56" s="28" t="str">
        <x:f>IF(J56="","",IF(AND(J56="Ativo",K56&gt;=0,K56&lt;=Auxiliar!$B$8),"Vence no período de alerta",IF(J56="Conferir cadastro","Conferir cadastro","")))</x:f>
      </x:c>
      <x:c r="O56" s="28" t="str">
        <x:f>IF(COUNTA(A56:H56)=0,"",IF(A56="","Informe ID",IF(COUNTIFS($A$7:$A$56,A56)&lt;&gt;1,"Duplicado: contrato",IF(OR(B56="",C56=""),"Informe objeto e fornecedor",IF(OR(NOT(ISNUMBER(D56)),NOT(ISNUMBER(E56)),D56&lt;DATE(2000,1,1),E56&gt;DATE(2100,12,31),E56&lt;D56),"Conferir datas",IF(AND(F56&lt;&gt;"Ativo",F56&lt;&gt;"Suspenso",F56&lt;&gt;"Encerrado"),"Conferir situação",IF(IF(ISNUMBER(G56),OR(G56&lt;=0,MOD(G56,1)&lt;&gt;0),TRUE),"Conferir vagas",IF(OR(NOT(ISNUMBER(H56)),H56&lt;0),"Conferir tarifa","Válido"))))))))</x:f>
      </x:c>
    </x:row>
    <x:row r="57" ht="25" customHeight="1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</x:row>
    <x:row r="58" ht="25" customHeight="1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</x:row>
  </x:sheetData>
  <x:conditionalFormatting sqref="O7:O56">
    <x:cfRule type="containsText" dxfId="0" priority="1" operator="containsText" text="Conferir"/>
    <x:cfRule type="containsText" dxfId="1" priority="2" operator="containsText" text="Informe"/>
    <x:cfRule type="containsText" dxfId="2" priority="3" operator="containsText" text="Duplicado"/>
    <x:cfRule type="containsText" dxfId="3" priority="4" operator="containsText" text="Em atraso"/>
  </x:conditionalFormatting>
  <x:conditionalFormatting sqref="N7:N56">
    <x:cfRule type="containsText" dxfId="4" priority="5" operator="containsText" text="Vence"/>
  </x:conditionalFormatting>
  <x:dataValidations count="4">
    <x:dataValidation type="date" operator="between" sqref="D7:E56">
      <x:formula1>36526</x:formula1>
      <x:formula2>73415</x:formula2>
    </x:dataValidation>
    <x:dataValidation type="whole" operator="between" sqref="G7:G56">
      <x:formula1>1</x:formula1>
      <x:formula2>100000</x:formula2>
    </x:dataValidation>
    <x:dataValidation type="decimal" operator="between" sqref="H7:H56">
      <x:formula1>0</x:formula1>
      <x:formula2>100000000</x:formula2>
    </x:dataValidation>
    <x:dataValidation type="list" sqref="F7:F56">
      <x:formula1>"Ativo,Suspenso,Encerrado"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2bb9539e82c459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46" hidden="0" customWidth="1"/>
    <x:col min="4" max="4" width="18" hidden="0" customWidth="1"/>
    <x:col min="5" max="5" width="24" hidden="0" customWidth="1"/>
    <x:col min="6" max="6" width="17" hidden="0" customWidth="1"/>
    <x:col min="7" max="7" width="21" hidden="0" customWidth="1"/>
    <x:col min="8" max="8" width="22" hidden="0" customWidth="1"/>
    <x:col min="9" max="9" width="24" hidden="0" customWidth="1"/>
    <x:col min="10" max="10" width="25" hidden="0" customWidth="1"/>
    <x:col min="11" max="11" width="31" hidden="0" customWidth="1"/>
    <x:col min="12" max="12" width="23" hidden="0" customWidth="1"/>
    <x:col min="13" max="13" width="25" hidden="0" customWidth="1"/>
  </x:cols>
  <x:sheetData>
    <x:row r="1" ht="12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2" customHeight="1">
      <x:c r="A2" s="4" t="str">
        <x:v>Mensalidades e pagamentos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 ht="25" customHeight="1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</x:row>
    <x:row r="4" ht="25" customHeight="1">
      <x:c r="A4" s="21" t="str">
        <x:v>Preencha A:I. Informe o valor da cobrança e sua competência. A data paga define a situação financeira.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</x:row>
    <x:row r="5" ht="25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</x:row>
    <x:row r="6" ht="46" customHeight="1">
      <x:c r="A6" s="18" t="str">
        <x:v>ID</x:v>
      </x:c>
      <x:c r="B6" s="19" t="str">
        <x:v>Contrato</x:v>
      </x:c>
      <x:c r="C6" s="19" t="str">
        <x:v>Descrição</x:v>
      </x:c>
      <x:c r="D6" s="19" t="str">
        <x:v>Competência</x:v>
      </x:c>
      <x:c r="E6" s="19" t="str">
        <x:v>Valor da cobrança (R$)</x:v>
      </x:c>
      <x:c r="F6" s="19" t="str">
        <x:v>Vencimento</x:v>
      </x:c>
      <x:c r="G6" s="19" t="str">
        <x:v>Data do pagamento</x:v>
      </x:c>
      <x:c r="H6" s="19" t="str">
        <x:v>Documentação</x:v>
      </x:c>
      <x:c r="I6" s="19" t="str">
        <x:v>Etapa administrativa</x:v>
      </x:c>
      <x:c r="J6" s="19" t="str">
        <x:v>Situação financeira</x:v>
      </x:c>
      <x:c r="K6" s="19" t="str">
        <x:v>Conferência</x:v>
      </x:c>
      <x:c r="L6" s="19" t="str">
        <x:v>Valor válido (R$)</x:v>
      </x:c>
      <x:c r="M6" s="20" t="str">
        <x:v>Documentos pendentes</x:v>
      </x:c>
    </x:row>
    <x:row r="7" ht="42" customHeight="1">
      <x:c r="A7" s="23"/>
      <x:c r="B7" s="23"/>
      <x:c r="C7" s="29"/>
      <x:c r="D7" s="47"/>
      <x:c r="E7" s="41"/>
      <x:c r="F7" s="35"/>
      <x:c r="G7" s="35"/>
      <x:c r="H7" s="54"/>
      <x:c r="I7" s="54"/>
      <x:c r="J7" s="55" t="str">
        <x:f>IF(K7="","",IF(K7&lt;&gt;"Válido","Conferir dados",IF(AND(ISNUMBER(G7),G7&gt;Auxiliar!$B$4),"Conferir data futura",IF(AND(ISNUMBER(G7),G7&lt;=Auxiliar!$B$4),"Pago",IF(F7&lt;Auxiliar!$B$4,"Em atraso","Em aberto")))))</x:f>
      </x:c>
      <x:c r="K7" s="55" t="str">
        <x:f>IF(COUNTA(A7:I7)=0,"",IF(A7="","Informe ID",IF(COUNTIFS($A$7:$A$56,A7)&lt;&gt;1,"Duplicado: pagamento",IF(COUNTIFS(Contratos!$A$7:$A$56,B7)&lt;&gt;1,"Conferir contrato",IF(C7="","Informe descrição",IF(IF(ISNUMBER(D7),OR(D7&lt;DATE(2000,1,1),D7&gt;DATE(2100,12,31),DAY(D7)&lt;&gt;1),TRUE),"Conferir competência",IF(OR(NOT(ISNUMBER(E7)),E7&lt;0),"Conferir valor",IF(OR(NOT(ISNUMBER(F7)),F7&lt;DATE(2000,1,1),F7&gt;DATE(2100,12,31)),"Conferir vencimento",IF(AND(G7&lt;&gt;"",OR(NOT(ISNUMBER(G7)),G7&lt;DATE(2000,1,1),G7&gt;DATE(2100,12,31))),"Conferir pagamento",IF(AND(H7&lt;&gt;"Completa",H7&lt;&gt;"Pendente"),"Conferir documentação",IF(AND(I7&lt;&gt;"Em conferência",I7&lt;&gt;"Encaminhado",I7&lt;&gt;"Pago"),"Conferir etapa","Válido")))))))))))</x:f>
      </x:c>
      <x:c r="L7" s="42" t="str">
        <x:f>IF(K7="","",IF(K7="Válido",E7,0))</x:f>
      </x:c>
      <x:c r="M7" s="55" t="str">
        <x:f>IF(K7="","",IF(K7&lt;&gt;"Válido","Conferir dados",IF(H7="Pendente","Pendente","Completa")))</x:f>
      </x:c>
    </x:row>
    <x:row r="8" ht="42" customHeight="1">
      <x:c r="A8" s="25"/>
      <x:c r="B8" s="25"/>
      <x:c r="C8" s="30"/>
      <x:c r="D8" s="48"/>
      <x:c r="E8" s="43"/>
      <x:c r="F8" s="36"/>
      <x:c r="G8" s="36"/>
      <x:c r="H8" s="56"/>
      <x:c r="I8" s="56"/>
      <x:c r="J8" s="57" t="str">
        <x:f>IF(K8="","",IF(K8&lt;&gt;"Válido","Conferir dados",IF(AND(ISNUMBER(G8),G8&gt;Auxiliar!$B$4),"Conferir data futura",IF(AND(ISNUMBER(G8),G8&lt;=Auxiliar!$B$4),"Pago",IF(F8&lt;Auxiliar!$B$4,"Em atraso","Em aberto")))))</x:f>
      </x:c>
      <x:c r="K8" s="57" t="str">
        <x:f>IF(COUNTA(A8:I8)=0,"",IF(A8="","Informe ID",IF(COUNTIFS($A$7:$A$56,A8)&lt;&gt;1,"Duplicado: pagamento",IF(COUNTIFS(Contratos!$A$7:$A$56,B8)&lt;&gt;1,"Conferir contrato",IF(C8="","Informe descrição",IF(IF(ISNUMBER(D8),OR(D8&lt;DATE(2000,1,1),D8&gt;DATE(2100,12,31),DAY(D8)&lt;&gt;1),TRUE),"Conferir competência",IF(OR(NOT(ISNUMBER(E8)),E8&lt;0),"Conferir valor",IF(OR(NOT(ISNUMBER(F8)),F8&lt;DATE(2000,1,1),F8&gt;DATE(2100,12,31)),"Conferir vencimento",IF(AND(G8&lt;&gt;"",OR(NOT(ISNUMBER(G8)),G8&lt;DATE(2000,1,1),G8&gt;DATE(2100,12,31))),"Conferir pagamento",IF(AND(H8&lt;&gt;"Completa",H8&lt;&gt;"Pendente"),"Conferir documentação",IF(AND(I8&lt;&gt;"Em conferência",I8&lt;&gt;"Encaminhado",I8&lt;&gt;"Pago"),"Conferir etapa","Válido")))))))))))</x:f>
      </x:c>
      <x:c r="L8" s="44" t="str">
        <x:f>IF(K8="","",IF(K8="Válido",E8,0))</x:f>
      </x:c>
      <x:c r="M8" s="57" t="str">
        <x:f>IF(K8="","",IF(K8&lt;&gt;"Válido","Conferir dados",IF(H8="Pendente","Pendente","Completa")))</x:f>
      </x:c>
    </x:row>
    <x:row r="9" ht="42" customHeight="1">
      <x:c r="A9" s="25"/>
      <x:c r="B9" s="25"/>
      <x:c r="C9" s="30"/>
      <x:c r="D9" s="48"/>
      <x:c r="E9" s="43"/>
      <x:c r="F9" s="36"/>
      <x:c r="G9" s="36"/>
      <x:c r="H9" s="56"/>
      <x:c r="I9" s="56"/>
      <x:c r="J9" s="57" t="str">
        <x:f>IF(K9="","",IF(K9&lt;&gt;"Válido","Conferir dados",IF(AND(ISNUMBER(G9),G9&gt;Auxiliar!$B$4),"Conferir data futura",IF(AND(ISNUMBER(G9),G9&lt;=Auxiliar!$B$4),"Pago",IF(F9&lt;Auxiliar!$B$4,"Em atraso","Em aberto")))))</x:f>
      </x:c>
      <x:c r="K9" s="57" t="str">
        <x:f>IF(COUNTA(A9:I9)=0,"",IF(A9="","Informe ID",IF(COUNTIFS($A$7:$A$56,A9)&lt;&gt;1,"Duplicado: pagamento",IF(COUNTIFS(Contratos!$A$7:$A$56,B9)&lt;&gt;1,"Conferir contrato",IF(C9="","Informe descrição",IF(IF(ISNUMBER(D9),OR(D9&lt;DATE(2000,1,1),D9&gt;DATE(2100,12,31),DAY(D9)&lt;&gt;1),TRUE),"Conferir competência",IF(OR(NOT(ISNUMBER(E9)),E9&lt;0),"Conferir valor",IF(OR(NOT(ISNUMBER(F9)),F9&lt;DATE(2000,1,1),F9&gt;DATE(2100,12,31)),"Conferir vencimento",IF(AND(G9&lt;&gt;"",OR(NOT(ISNUMBER(G9)),G9&lt;DATE(2000,1,1),G9&gt;DATE(2100,12,31))),"Conferir pagamento",IF(AND(H9&lt;&gt;"Completa",H9&lt;&gt;"Pendente"),"Conferir documentação",IF(AND(I9&lt;&gt;"Em conferência",I9&lt;&gt;"Encaminhado",I9&lt;&gt;"Pago"),"Conferir etapa","Válido")))))))))))</x:f>
      </x:c>
      <x:c r="L9" s="44" t="str">
        <x:f>IF(K9="","",IF(K9="Válido",E9,0))</x:f>
      </x:c>
      <x:c r="M9" s="57" t="str">
        <x:f>IF(K9="","",IF(K9&lt;&gt;"Válido","Conferir dados",IF(H9="Pendente","Pendente","Completa")))</x:f>
      </x:c>
    </x:row>
    <x:row r="10" ht="42" customHeight="1">
      <x:c r="A10" s="25"/>
      <x:c r="B10" s="25"/>
      <x:c r="C10" s="30"/>
      <x:c r="D10" s="48"/>
      <x:c r="E10" s="43"/>
      <x:c r="F10" s="36"/>
      <x:c r="G10" s="36"/>
      <x:c r="H10" s="56"/>
      <x:c r="I10" s="56"/>
      <x:c r="J10" s="57" t="str">
        <x:f>IF(K10="","",IF(K10&lt;&gt;"Válido","Conferir dados",IF(AND(ISNUMBER(G10),G10&gt;Auxiliar!$B$4),"Conferir data futura",IF(AND(ISNUMBER(G10),G10&lt;=Auxiliar!$B$4),"Pago",IF(F10&lt;Auxiliar!$B$4,"Em atraso","Em aberto")))))</x:f>
      </x:c>
      <x:c r="K10" s="57" t="str">
        <x:f>IF(COUNTA(A10:I10)=0,"",IF(A10="","Informe ID",IF(COUNTIFS($A$7:$A$56,A10)&lt;&gt;1,"Duplicado: pagamento",IF(COUNTIFS(Contratos!$A$7:$A$56,B10)&lt;&gt;1,"Conferir contrato",IF(C10="","Informe descrição",IF(IF(ISNUMBER(D10),OR(D10&lt;DATE(2000,1,1),D10&gt;DATE(2100,12,31),DAY(D10)&lt;&gt;1),TRUE),"Conferir competência",IF(OR(NOT(ISNUMBER(E10)),E10&lt;0),"Conferir valor",IF(OR(NOT(ISNUMBER(F10)),F10&lt;DATE(2000,1,1),F10&gt;DATE(2100,12,31)),"Conferir vencimento",IF(AND(G10&lt;&gt;"",OR(NOT(ISNUMBER(G10)),G10&lt;DATE(2000,1,1),G10&gt;DATE(2100,12,31))),"Conferir pagamento",IF(AND(H10&lt;&gt;"Completa",H10&lt;&gt;"Pendente"),"Conferir documentação",IF(AND(I10&lt;&gt;"Em conferência",I10&lt;&gt;"Encaminhado",I10&lt;&gt;"Pago"),"Conferir etapa","Válido")))))))))))</x:f>
      </x:c>
      <x:c r="L10" s="44" t="str">
        <x:f>IF(K10="","",IF(K10="Válido",E10,0))</x:f>
      </x:c>
      <x:c r="M10" s="57" t="str">
        <x:f>IF(K10="","",IF(K10&lt;&gt;"Válido","Conferir dados",IF(H10="Pendente","Pendente","Completa")))</x:f>
      </x:c>
    </x:row>
    <x:row r="11" ht="42" customHeight="1">
      <x:c r="A11" s="25"/>
      <x:c r="B11" s="25"/>
      <x:c r="C11" s="30"/>
      <x:c r="D11" s="48"/>
      <x:c r="E11" s="43"/>
      <x:c r="F11" s="36"/>
      <x:c r="G11" s="36"/>
      <x:c r="H11" s="56"/>
      <x:c r="I11" s="56"/>
      <x:c r="J11" s="57" t="str">
        <x:f>IF(K11="","",IF(K11&lt;&gt;"Válido","Conferir dados",IF(AND(ISNUMBER(G11),G11&gt;Auxiliar!$B$4),"Conferir data futura",IF(AND(ISNUMBER(G11),G11&lt;=Auxiliar!$B$4),"Pago",IF(F11&lt;Auxiliar!$B$4,"Em atraso","Em aberto")))))</x:f>
      </x:c>
      <x:c r="K11" s="57" t="str">
        <x:f>IF(COUNTA(A11:I11)=0,"",IF(A11="","Informe ID",IF(COUNTIFS($A$7:$A$56,A11)&lt;&gt;1,"Duplicado: pagamento",IF(COUNTIFS(Contratos!$A$7:$A$56,B11)&lt;&gt;1,"Conferir contrato",IF(C11="","Informe descrição",IF(IF(ISNUMBER(D11),OR(D11&lt;DATE(2000,1,1),D11&gt;DATE(2100,12,31),DAY(D11)&lt;&gt;1),TRUE),"Conferir competência",IF(OR(NOT(ISNUMBER(E11)),E11&lt;0),"Conferir valor",IF(OR(NOT(ISNUMBER(F11)),F11&lt;DATE(2000,1,1),F11&gt;DATE(2100,12,31)),"Conferir vencimento",IF(AND(G11&lt;&gt;"",OR(NOT(ISNUMBER(G11)),G11&lt;DATE(2000,1,1),G11&gt;DATE(2100,12,31))),"Conferir pagamento",IF(AND(H11&lt;&gt;"Completa",H11&lt;&gt;"Pendente"),"Conferir documentação",IF(AND(I11&lt;&gt;"Em conferência",I11&lt;&gt;"Encaminhado",I11&lt;&gt;"Pago"),"Conferir etapa","Válido")))))))))))</x:f>
      </x:c>
      <x:c r="L11" s="44" t="str">
        <x:f>IF(K11="","",IF(K11="Válido",E11,0))</x:f>
      </x:c>
      <x:c r="M11" s="57" t="str">
        <x:f>IF(K11="","",IF(K11&lt;&gt;"Válido","Conferir dados",IF(H11="Pendente","Pendente","Completa")))</x:f>
      </x:c>
    </x:row>
    <x:row r="12" ht="42" customHeight="1">
      <x:c r="A12" s="25"/>
      <x:c r="B12" s="25"/>
      <x:c r="C12" s="30"/>
      <x:c r="D12" s="48"/>
      <x:c r="E12" s="43"/>
      <x:c r="F12" s="36"/>
      <x:c r="G12" s="36"/>
      <x:c r="H12" s="56"/>
      <x:c r="I12" s="56"/>
      <x:c r="J12" s="57" t="str">
        <x:f>IF(K12="","",IF(K12&lt;&gt;"Válido","Conferir dados",IF(AND(ISNUMBER(G12),G12&gt;Auxiliar!$B$4),"Conferir data futura",IF(AND(ISNUMBER(G12),G12&lt;=Auxiliar!$B$4),"Pago",IF(F12&lt;Auxiliar!$B$4,"Em atraso","Em aberto")))))</x:f>
      </x:c>
      <x:c r="K12" s="57" t="str">
        <x:f>IF(COUNTA(A12:I12)=0,"",IF(A12="","Informe ID",IF(COUNTIFS($A$7:$A$56,A12)&lt;&gt;1,"Duplicado: pagamento",IF(COUNTIFS(Contratos!$A$7:$A$56,B12)&lt;&gt;1,"Conferir contrato",IF(C12="","Informe descrição",IF(IF(ISNUMBER(D12),OR(D12&lt;DATE(2000,1,1),D12&gt;DATE(2100,12,31),DAY(D12)&lt;&gt;1),TRUE),"Conferir competência",IF(OR(NOT(ISNUMBER(E12)),E12&lt;0),"Conferir valor",IF(OR(NOT(ISNUMBER(F12)),F12&lt;DATE(2000,1,1),F12&gt;DATE(2100,12,31)),"Conferir vencimento",IF(AND(G12&lt;&gt;"",OR(NOT(ISNUMBER(G12)),G12&lt;DATE(2000,1,1),G12&gt;DATE(2100,12,31))),"Conferir pagamento",IF(AND(H12&lt;&gt;"Completa",H12&lt;&gt;"Pendente"),"Conferir documentação",IF(AND(I12&lt;&gt;"Em conferência",I12&lt;&gt;"Encaminhado",I12&lt;&gt;"Pago"),"Conferir etapa","Válido")))))))))))</x:f>
      </x:c>
      <x:c r="L12" s="44" t="str">
        <x:f>IF(K12="","",IF(K12="Válido",E12,0))</x:f>
      </x:c>
      <x:c r="M12" s="57" t="str">
        <x:f>IF(K12="","",IF(K12&lt;&gt;"Válido","Conferir dados",IF(H12="Pendente","Pendente","Completa")))</x:f>
      </x:c>
    </x:row>
    <x:row r="13" ht="42" customHeight="1">
      <x:c r="A13" s="25"/>
      <x:c r="B13" s="25"/>
      <x:c r="C13" s="30"/>
      <x:c r="D13" s="48"/>
      <x:c r="E13" s="43"/>
      <x:c r="F13" s="36"/>
      <x:c r="G13" s="36"/>
      <x:c r="H13" s="56"/>
      <x:c r="I13" s="56"/>
      <x:c r="J13" s="57" t="str">
        <x:f>IF(K13="","",IF(K13&lt;&gt;"Válido","Conferir dados",IF(AND(ISNUMBER(G13),G13&gt;Auxiliar!$B$4),"Conferir data futura",IF(AND(ISNUMBER(G13),G13&lt;=Auxiliar!$B$4),"Pago",IF(F13&lt;Auxiliar!$B$4,"Em atraso","Em aberto")))))</x:f>
      </x:c>
      <x:c r="K13" s="57" t="str">
        <x:f>IF(COUNTA(A13:I13)=0,"",IF(A13="","Informe ID",IF(COUNTIFS($A$7:$A$56,A13)&lt;&gt;1,"Duplicado: pagamento",IF(COUNTIFS(Contratos!$A$7:$A$56,B13)&lt;&gt;1,"Conferir contrato",IF(C13="","Informe descrição",IF(IF(ISNUMBER(D13),OR(D13&lt;DATE(2000,1,1),D13&gt;DATE(2100,12,31),DAY(D13)&lt;&gt;1),TRUE),"Conferir competência",IF(OR(NOT(ISNUMBER(E13)),E13&lt;0),"Conferir valor",IF(OR(NOT(ISNUMBER(F13)),F13&lt;DATE(2000,1,1),F13&gt;DATE(2100,12,31)),"Conferir vencimento",IF(AND(G13&lt;&gt;"",OR(NOT(ISNUMBER(G13)),G13&lt;DATE(2000,1,1),G13&gt;DATE(2100,12,31))),"Conferir pagamento",IF(AND(H13&lt;&gt;"Completa",H13&lt;&gt;"Pendente"),"Conferir documentação",IF(AND(I13&lt;&gt;"Em conferência",I13&lt;&gt;"Encaminhado",I13&lt;&gt;"Pago"),"Conferir etapa","Válido")))))))))))</x:f>
      </x:c>
      <x:c r="L13" s="44" t="str">
        <x:f>IF(K13="","",IF(K13="Válido",E13,0))</x:f>
      </x:c>
      <x:c r="M13" s="57" t="str">
        <x:f>IF(K13="","",IF(K13&lt;&gt;"Válido","Conferir dados",IF(H13="Pendente","Pendente","Completa")))</x:f>
      </x:c>
    </x:row>
    <x:row r="14" ht="42" customHeight="1">
      <x:c r="A14" s="25"/>
      <x:c r="B14" s="25"/>
      <x:c r="C14" s="30"/>
      <x:c r="D14" s="48"/>
      <x:c r="E14" s="43"/>
      <x:c r="F14" s="36"/>
      <x:c r="G14" s="36"/>
      <x:c r="H14" s="56"/>
      <x:c r="I14" s="56"/>
      <x:c r="J14" s="57" t="str">
        <x:f>IF(K14="","",IF(K14&lt;&gt;"Válido","Conferir dados",IF(AND(ISNUMBER(G14),G14&gt;Auxiliar!$B$4),"Conferir data futura",IF(AND(ISNUMBER(G14),G14&lt;=Auxiliar!$B$4),"Pago",IF(F14&lt;Auxiliar!$B$4,"Em atraso","Em aberto")))))</x:f>
      </x:c>
      <x:c r="K14" s="57" t="str">
        <x:f>IF(COUNTA(A14:I14)=0,"",IF(A14="","Informe ID",IF(COUNTIFS($A$7:$A$56,A14)&lt;&gt;1,"Duplicado: pagamento",IF(COUNTIFS(Contratos!$A$7:$A$56,B14)&lt;&gt;1,"Conferir contrato",IF(C14="","Informe descrição",IF(IF(ISNUMBER(D14),OR(D14&lt;DATE(2000,1,1),D14&gt;DATE(2100,12,31),DAY(D14)&lt;&gt;1),TRUE),"Conferir competência",IF(OR(NOT(ISNUMBER(E14)),E14&lt;0),"Conferir valor",IF(OR(NOT(ISNUMBER(F14)),F14&lt;DATE(2000,1,1),F14&gt;DATE(2100,12,31)),"Conferir vencimento",IF(AND(G14&lt;&gt;"",OR(NOT(ISNUMBER(G14)),G14&lt;DATE(2000,1,1),G14&gt;DATE(2100,12,31))),"Conferir pagamento",IF(AND(H14&lt;&gt;"Completa",H14&lt;&gt;"Pendente"),"Conferir documentação",IF(AND(I14&lt;&gt;"Em conferência",I14&lt;&gt;"Encaminhado",I14&lt;&gt;"Pago"),"Conferir etapa","Válido")))))))))))</x:f>
      </x:c>
      <x:c r="L14" s="44" t="str">
        <x:f>IF(K14="","",IF(K14="Válido",E14,0))</x:f>
      </x:c>
      <x:c r="M14" s="57" t="str">
        <x:f>IF(K14="","",IF(K14&lt;&gt;"Válido","Conferir dados",IF(H14="Pendente","Pendente","Completa")))</x:f>
      </x:c>
    </x:row>
    <x:row r="15" ht="42" customHeight="1">
      <x:c r="A15" s="25"/>
      <x:c r="B15" s="25"/>
      <x:c r="C15" s="30"/>
      <x:c r="D15" s="48"/>
      <x:c r="E15" s="43"/>
      <x:c r="F15" s="36"/>
      <x:c r="G15" s="36"/>
      <x:c r="H15" s="56"/>
      <x:c r="I15" s="56"/>
      <x:c r="J15" s="57" t="str">
        <x:f>IF(K15="","",IF(K15&lt;&gt;"Válido","Conferir dados",IF(AND(ISNUMBER(G15),G15&gt;Auxiliar!$B$4),"Conferir data futura",IF(AND(ISNUMBER(G15),G15&lt;=Auxiliar!$B$4),"Pago",IF(F15&lt;Auxiliar!$B$4,"Em atraso","Em aberto")))))</x:f>
      </x:c>
      <x:c r="K15" s="57" t="str">
        <x:f>IF(COUNTA(A15:I15)=0,"",IF(A15="","Informe ID",IF(COUNTIFS($A$7:$A$56,A15)&lt;&gt;1,"Duplicado: pagamento",IF(COUNTIFS(Contratos!$A$7:$A$56,B15)&lt;&gt;1,"Conferir contrato",IF(C15="","Informe descrição",IF(IF(ISNUMBER(D15),OR(D15&lt;DATE(2000,1,1),D15&gt;DATE(2100,12,31),DAY(D15)&lt;&gt;1),TRUE),"Conferir competência",IF(OR(NOT(ISNUMBER(E15)),E15&lt;0),"Conferir valor",IF(OR(NOT(ISNUMBER(F15)),F15&lt;DATE(2000,1,1),F15&gt;DATE(2100,12,31)),"Conferir vencimento",IF(AND(G15&lt;&gt;"",OR(NOT(ISNUMBER(G15)),G15&lt;DATE(2000,1,1),G15&gt;DATE(2100,12,31))),"Conferir pagamento",IF(AND(H15&lt;&gt;"Completa",H15&lt;&gt;"Pendente"),"Conferir documentação",IF(AND(I15&lt;&gt;"Em conferência",I15&lt;&gt;"Encaminhado",I15&lt;&gt;"Pago"),"Conferir etapa","Válido")))))))))))</x:f>
      </x:c>
      <x:c r="L15" s="44" t="str">
        <x:f>IF(K15="","",IF(K15="Válido",E15,0))</x:f>
      </x:c>
      <x:c r="M15" s="57" t="str">
        <x:f>IF(K15="","",IF(K15&lt;&gt;"Válido","Conferir dados",IF(H15="Pendente","Pendente","Completa")))</x:f>
      </x:c>
    </x:row>
    <x:row r="16" ht="42" customHeight="1">
      <x:c r="A16" s="25"/>
      <x:c r="B16" s="25"/>
      <x:c r="C16" s="30"/>
      <x:c r="D16" s="48"/>
      <x:c r="E16" s="43"/>
      <x:c r="F16" s="36"/>
      <x:c r="G16" s="36"/>
      <x:c r="H16" s="56"/>
      <x:c r="I16" s="56"/>
      <x:c r="J16" s="57" t="str">
        <x:f>IF(K16="","",IF(K16&lt;&gt;"Válido","Conferir dados",IF(AND(ISNUMBER(G16),G16&gt;Auxiliar!$B$4),"Conferir data futura",IF(AND(ISNUMBER(G16),G16&lt;=Auxiliar!$B$4),"Pago",IF(F16&lt;Auxiliar!$B$4,"Em atraso","Em aberto")))))</x:f>
      </x:c>
      <x:c r="K16" s="57" t="str">
        <x:f>IF(COUNTA(A16:I16)=0,"",IF(A16="","Informe ID",IF(COUNTIFS($A$7:$A$56,A16)&lt;&gt;1,"Duplicado: pagamento",IF(COUNTIFS(Contratos!$A$7:$A$56,B16)&lt;&gt;1,"Conferir contrato",IF(C16="","Informe descrição",IF(IF(ISNUMBER(D16),OR(D16&lt;DATE(2000,1,1),D16&gt;DATE(2100,12,31),DAY(D16)&lt;&gt;1),TRUE),"Conferir competência",IF(OR(NOT(ISNUMBER(E16)),E16&lt;0),"Conferir valor",IF(OR(NOT(ISNUMBER(F16)),F16&lt;DATE(2000,1,1),F16&gt;DATE(2100,12,31)),"Conferir vencimento",IF(AND(G16&lt;&gt;"",OR(NOT(ISNUMBER(G16)),G16&lt;DATE(2000,1,1),G16&gt;DATE(2100,12,31))),"Conferir pagamento",IF(AND(H16&lt;&gt;"Completa",H16&lt;&gt;"Pendente"),"Conferir documentação",IF(AND(I16&lt;&gt;"Em conferência",I16&lt;&gt;"Encaminhado",I16&lt;&gt;"Pago"),"Conferir etapa","Válido")))))))))))</x:f>
      </x:c>
      <x:c r="L16" s="44" t="str">
        <x:f>IF(K16="","",IF(K16="Válido",E16,0))</x:f>
      </x:c>
      <x:c r="M16" s="57" t="str">
        <x:f>IF(K16="","",IF(K16&lt;&gt;"Válido","Conferir dados",IF(H16="Pendente","Pendente","Completa")))</x:f>
      </x:c>
    </x:row>
    <x:row r="17" ht="42" customHeight="1">
      <x:c r="A17" s="25"/>
      <x:c r="B17" s="25"/>
      <x:c r="C17" s="30"/>
      <x:c r="D17" s="48"/>
      <x:c r="E17" s="43"/>
      <x:c r="F17" s="36"/>
      <x:c r="G17" s="36"/>
      <x:c r="H17" s="56"/>
      <x:c r="I17" s="56"/>
      <x:c r="J17" s="57" t="str">
        <x:f>IF(K17="","",IF(K17&lt;&gt;"Válido","Conferir dados",IF(AND(ISNUMBER(G17),G17&gt;Auxiliar!$B$4),"Conferir data futura",IF(AND(ISNUMBER(G17),G17&lt;=Auxiliar!$B$4),"Pago",IF(F17&lt;Auxiliar!$B$4,"Em atraso","Em aberto")))))</x:f>
      </x:c>
      <x:c r="K17" s="57" t="str">
        <x:f>IF(COUNTA(A17:I17)=0,"",IF(A17="","Informe ID",IF(COUNTIFS($A$7:$A$56,A17)&lt;&gt;1,"Duplicado: pagamento",IF(COUNTIFS(Contratos!$A$7:$A$56,B17)&lt;&gt;1,"Conferir contrato",IF(C17="","Informe descrição",IF(IF(ISNUMBER(D17),OR(D17&lt;DATE(2000,1,1),D17&gt;DATE(2100,12,31),DAY(D17)&lt;&gt;1),TRUE),"Conferir competência",IF(OR(NOT(ISNUMBER(E17)),E17&lt;0),"Conferir valor",IF(OR(NOT(ISNUMBER(F17)),F17&lt;DATE(2000,1,1),F17&gt;DATE(2100,12,31)),"Conferir vencimento",IF(AND(G17&lt;&gt;"",OR(NOT(ISNUMBER(G17)),G17&lt;DATE(2000,1,1),G17&gt;DATE(2100,12,31))),"Conferir pagamento",IF(AND(H17&lt;&gt;"Completa",H17&lt;&gt;"Pendente"),"Conferir documentação",IF(AND(I17&lt;&gt;"Em conferência",I17&lt;&gt;"Encaminhado",I17&lt;&gt;"Pago"),"Conferir etapa","Válido")))))))))))</x:f>
      </x:c>
      <x:c r="L17" s="44" t="str">
        <x:f>IF(K17="","",IF(K17="Válido",E17,0))</x:f>
      </x:c>
      <x:c r="M17" s="57" t="str">
        <x:f>IF(K17="","",IF(K17&lt;&gt;"Válido","Conferir dados",IF(H17="Pendente","Pendente","Completa")))</x:f>
      </x:c>
    </x:row>
    <x:row r="18" ht="42" customHeight="1">
      <x:c r="A18" s="25"/>
      <x:c r="B18" s="25"/>
      <x:c r="C18" s="30"/>
      <x:c r="D18" s="48"/>
      <x:c r="E18" s="43"/>
      <x:c r="F18" s="36"/>
      <x:c r="G18" s="36"/>
      <x:c r="H18" s="56"/>
      <x:c r="I18" s="56"/>
      <x:c r="J18" s="57" t="str">
        <x:f>IF(K18="","",IF(K18&lt;&gt;"Válido","Conferir dados",IF(AND(ISNUMBER(G18),G18&gt;Auxiliar!$B$4),"Conferir data futura",IF(AND(ISNUMBER(G18),G18&lt;=Auxiliar!$B$4),"Pago",IF(F18&lt;Auxiliar!$B$4,"Em atraso","Em aberto")))))</x:f>
      </x:c>
      <x:c r="K18" s="57" t="str">
        <x:f>IF(COUNTA(A18:I18)=0,"",IF(A18="","Informe ID",IF(COUNTIFS($A$7:$A$56,A18)&lt;&gt;1,"Duplicado: pagamento",IF(COUNTIFS(Contratos!$A$7:$A$56,B18)&lt;&gt;1,"Conferir contrato",IF(C18="","Informe descrição",IF(IF(ISNUMBER(D18),OR(D18&lt;DATE(2000,1,1),D18&gt;DATE(2100,12,31),DAY(D18)&lt;&gt;1),TRUE),"Conferir competência",IF(OR(NOT(ISNUMBER(E18)),E18&lt;0),"Conferir valor",IF(OR(NOT(ISNUMBER(F18)),F18&lt;DATE(2000,1,1),F18&gt;DATE(2100,12,31)),"Conferir vencimento",IF(AND(G18&lt;&gt;"",OR(NOT(ISNUMBER(G18)),G18&lt;DATE(2000,1,1),G18&gt;DATE(2100,12,31))),"Conferir pagamento",IF(AND(H18&lt;&gt;"Completa",H18&lt;&gt;"Pendente"),"Conferir documentação",IF(AND(I18&lt;&gt;"Em conferência",I18&lt;&gt;"Encaminhado",I18&lt;&gt;"Pago"),"Conferir etapa","Válido")))))))))))</x:f>
      </x:c>
      <x:c r="L18" s="44" t="str">
        <x:f>IF(K18="","",IF(K18="Válido",E18,0))</x:f>
      </x:c>
      <x:c r="M18" s="57" t="str">
        <x:f>IF(K18="","",IF(K18&lt;&gt;"Válido","Conferir dados",IF(H18="Pendente","Pendente","Completa")))</x:f>
      </x:c>
    </x:row>
    <x:row r="19" ht="42" customHeight="1">
      <x:c r="A19" s="25"/>
      <x:c r="B19" s="25"/>
      <x:c r="C19" s="30"/>
      <x:c r="D19" s="48"/>
      <x:c r="E19" s="43"/>
      <x:c r="F19" s="36"/>
      <x:c r="G19" s="36"/>
      <x:c r="H19" s="56"/>
      <x:c r="I19" s="56"/>
      <x:c r="J19" s="57" t="str">
        <x:f>IF(K19="","",IF(K19&lt;&gt;"Válido","Conferir dados",IF(AND(ISNUMBER(G19),G19&gt;Auxiliar!$B$4),"Conferir data futura",IF(AND(ISNUMBER(G19),G19&lt;=Auxiliar!$B$4),"Pago",IF(F19&lt;Auxiliar!$B$4,"Em atraso","Em aberto")))))</x:f>
      </x:c>
      <x:c r="K19" s="57" t="str">
        <x:f>IF(COUNTA(A19:I19)=0,"",IF(A19="","Informe ID",IF(COUNTIFS($A$7:$A$56,A19)&lt;&gt;1,"Duplicado: pagamento",IF(COUNTIFS(Contratos!$A$7:$A$56,B19)&lt;&gt;1,"Conferir contrato",IF(C19="","Informe descrição",IF(IF(ISNUMBER(D19),OR(D19&lt;DATE(2000,1,1),D19&gt;DATE(2100,12,31),DAY(D19)&lt;&gt;1),TRUE),"Conferir competência",IF(OR(NOT(ISNUMBER(E19)),E19&lt;0),"Conferir valor",IF(OR(NOT(ISNUMBER(F19)),F19&lt;DATE(2000,1,1),F19&gt;DATE(2100,12,31)),"Conferir vencimento",IF(AND(G19&lt;&gt;"",OR(NOT(ISNUMBER(G19)),G19&lt;DATE(2000,1,1),G19&gt;DATE(2100,12,31))),"Conferir pagamento",IF(AND(H19&lt;&gt;"Completa",H19&lt;&gt;"Pendente"),"Conferir documentação",IF(AND(I19&lt;&gt;"Em conferência",I19&lt;&gt;"Encaminhado",I19&lt;&gt;"Pago"),"Conferir etapa","Válido")))))))))))</x:f>
      </x:c>
      <x:c r="L19" s="44" t="str">
        <x:f>IF(K19="","",IF(K19="Válido",E19,0))</x:f>
      </x:c>
      <x:c r="M19" s="57" t="str">
        <x:f>IF(K19="","",IF(K19&lt;&gt;"Válido","Conferir dados",IF(H19="Pendente","Pendente","Completa")))</x:f>
      </x:c>
    </x:row>
    <x:row r="20" ht="42" customHeight="1">
      <x:c r="A20" s="25"/>
      <x:c r="B20" s="25"/>
      <x:c r="C20" s="30"/>
      <x:c r="D20" s="48"/>
      <x:c r="E20" s="43"/>
      <x:c r="F20" s="36"/>
      <x:c r="G20" s="36"/>
      <x:c r="H20" s="56"/>
      <x:c r="I20" s="56"/>
      <x:c r="J20" s="57" t="str">
        <x:f>IF(K20="","",IF(K20&lt;&gt;"Válido","Conferir dados",IF(AND(ISNUMBER(G20),G20&gt;Auxiliar!$B$4),"Conferir data futura",IF(AND(ISNUMBER(G20),G20&lt;=Auxiliar!$B$4),"Pago",IF(F20&lt;Auxiliar!$B$4,"Em atraso","Em aberto")))))</x:f>
      </x:c>
      <x:c r="K20" s="57" t="str">
        <x:f>IF(COUNTA(A20:I20)=0,"",IF(A20="","Informe ID",IF(COUNTIFS($A$7:$A$56,A20)&lt;&gt;1,"Duplicado: pagamento",IF(COUNTIFS(Contratos!$A$7:$A$56,B20)&lt;&gt;1,"Conferir contrato",IF(C20="","Informe descrição",IF(IF(ISNUMBER(D20),OR(D20&lt;DATE(2000,1,1),D20&gt;DATE(2100,12,31),DAY(D20)&lt;&gt;1),TRUE),"Conferir competência",IF(OR(NOT(ISNUMBER(E20)),E20&lt;0),"Conferir valor",IF(OR(NOT(ISNUMBER(F20)),F20&lt;DATE(2000,1,1),F20&gt;DATE(2100,12,31)),"Conferir vencimento",IF(AND(G20&lt;&gt;"",OR(NOT(ISNUMBER(G20)),G20&lt;DATE(2000,1,1),G20&gt;DATE(2100,12,31))),"Conferir pagamento",IF(AND(H20&lt;&gt;"Completa",H20&lt;&gt;"Pendente"),"Conferir documentação",IF(AND(I20&lt;&gt;"Em conferência",I20&lt;&gt;"Encaminhado",I20&lt;&gt;"Pago"),"Conferir etapa","Válido")))))))))))</x:f>
      </x:c>
      <x:c r="L20" s="44" t="str">
        <x:f>IF(K20="","",IF(K20="Válido",E20,0))</x:f>
      </x:c>
      <x:c r="M20" s="57" t="str">
        <x:f>IF(K20="","",IF(K20&lt;&gt;"Válido","Conferir dados",IF(H20="Pendente","Pendente","Completa")))</x:f>
      </x:c>
    </x:row>
    <x:row r="21" ht="42" customHeight="1">
      <x:c r="A21" s="25"/>
      <x:c r="B21" s="25"/>
      <x:c r="C21" s="30"/>
      <x:c r="D21" s="48"/>
      <x:c r="E21" s="43"/>
      <x:c r="F21" s="36"/>
      <x:c r="G21" s="36"/>
      <x:c r="H21" s="56"/>
      <x:c r="I21" s="56"/>
      <x:c r="J21" s="57" t="str">
        <x:f>IF(K21="","",IF(K21&lt;&gt;"Válido","Conferir dados",IF(AND(ISNUMBER(G21),G21&gt;Auxiliar!$B$4),"Conferir data futura",IF(AND(ISNUMBER(G21),G21&lt;=Auxiliar!$B$4),"Pago",IF(F21&lt;Auxiliar!$B$4,"Em atraso","Em aberto")))))</x:f>
      </x:c>
      <x:c r="K21" s="57" t="str">
        <x:f>IF(COUNTA(A21:I21)=0,"",IF(A21="","Informe ID",IF(COUNTIFS($A$7:$A$56,A21)&lt;&gt;1,"Duplicado: pagamento",IF(COUNTIFS(Contratos!$A$7:$A$56,B21)&lt;&gt;1,"Conferir contrato",IF(C21="","Informe descrição",IF(IF(ISNUMBER(D21),OR(D21&lt;DATE(2000,1,1),D21&gt;DATE(2100,12,31),DAY(D21)&lt;&gt;1),TRUE),"Conferir competência",IF(OR(NOT(ISNUMBER(E21)),E21&lt;0),"Conferir valor",IF(OR(NOT(ISNUMBER(F21)),F21&lt;DATE(2000,1,1),F21&gt;DATE(2100,12,31)),"Conferir vencimento",IF(AND(G21&lt;&gt;"",OR(NOT(ISNUMBER(G21)),G21&lt;DATE(2000,1,1),G21&gt;DATE(2100,12,31))),"Conferir pagamento",IF(AND(H21&lt;&gt;"Completa",H21&lt;&gt;"Pendente"),"Conferir documentação",IF(AND(I21&lt;&gt;"Em conferência",I21&lt;&gt;"Encaminhado",I21&lt;&gt;"Pago"),"Conferir etapa","Válido")))))))))))</x:f>
      </x:c>
      <x:c r="L21" s="44" t="str">
        <x:f>IF(K21="","",IF(K21="Válido",E21,0))</x:f>
      </x:c>
      <x:c r="M21" s="57" t="str">
        <x:f>IF(K21="","",IF(K21&lt;&gt;"Válido","Conferir dados",IF(H21="Pendente","Pendente","Completa")))</x:f>
      </x:c>
    </x:row>
    <x:row r="22" ht="42" customHeight="1">
      <x:c r="A22" s="25"/>
      <x:c r="B22" s="25"/>
      <x:c r="C22" s="30"/>
      <x:c r="D22" s="48"/>
      <x:c r="E22" s="43"/>
      <x:c r="F22" s="36"/>
      <x:c r="G22" s="36"/>
      <x:c r="H22" s="56"/>
      <x:c r="I22" s="56"/>
      <x:c r="J22" s="57" t="str">
        <x:f>IF(K22="","",IF(K22&lt;&gt;"Válido","Conferir dados",IF(AND(ISNUMBER(G22),G22&gt;Auxiliar!$B$4),"Conferir data futura",IF(AND(ISNUMBER(G22),G22&lt;=Auxiliar!$B$4),"Pago",IF(F22&lt;Auxiliar!$B$4,"Em atraso","Em aberto")))))</x:f>
      </x:c>
      <x:c r="K22" s="57" t="str">
        <x:f>IF(COUNTA(A22:I22)=0,"",IF(A22="","Informe ID",IF(COUNTIFS($A$7:$A$56,A22)&lt;&gt;1,"Duplicado: pagamento",IF(COUNTIFS(Contratos!$A$7:$A$56,B22)&lt;&gt;1,"Conferir contrato",IF(C22="","Informe descrição",IF(IF(ISNUMBER(D22),OR(D22&lt;DATE(2000,1,1),D22&gt;DATE(2100,12,31),DAY(D22)&lt;&gt;1),TRUE),"Conferir competência",IF(OR(NOT(ISNUMBER(E22)),E22&lt;0),"Conferir valor",IF(OR(NOT(ISNUMBER(F22)),F22&lt;DATE(2000,1,1),F22&gt;DATE(2100,12,31)),"Conferir vencimento",IF(AND(G22&lt;&gt;"",OR(NOT(ISNUMBER(G22)),G22&lt;DATE(2000,1,1),G22&gt;DATE(2100,12,31))),"Conferir pagamento",IF(AND(H22&lt;&gt;"Completa",H22&lt;&gt;"Pendente"),"Conferir documentação",IF(AND(I22&lt;&gt;"Em conferência",I22&lt;&gt;"Encaminhado",I22&lt;&gt;"Pago"),"Conferir etapa","Válido")))))))))))</x:f>
      </x:c>
      <x:c r="L22" s="44" t="str">
        <x:f>IF(K22="","",IF(K22="Válido",E22,0))</x:f>
      </x:c>
      <x:c r="M22" s="57" t="str">
        <x:f>IF(K22="","",IF(K22&lt;&gt;"Válido","Conferir dados",IF(H22="Pendente","Pendente","Completa")))</x:f>
      </x:c>
    </x:row>
    <x:row r="23" ht="42" customHeight="1">
      <x:c r="A23" s="25"/>
      <x:c r="B23" s="25"/>
      <x:c r="C23" s="30"/>
      <x:c r="D23" s="48"/>
      <x:c r="E23" s="43"/>
      <x:c r="F23" s="36"/>
      <x:c r="G23" s="36"/>
      <x:c r="H23" s="56"/>
      <x:c r="I23" s="56"/>
      <x:c r="J23" s="57" t="str">
        <x:f>IF(K23="","",IF(K23&lt;&gt;"Válido","Conferir dados",IF(AND(ISNUMBER(G23),G23&gt;Auxiliar!$B$4),"Conferir data futura",IF(AND(ISNUMBER(G23),G23&lt;=Auxiliar!$B$4),"Pago",IF(F23&lt;Auxiliar!$B$4,"Em atraso","Em aberto")))))</x:f>
      </x:c>
      <x:c r="K23" s="57" t="str">
        <x:f>IF(COUNTA(A23:I23)=0,"",IF(A23="","Informe ID",IF(COUNTIFS($A$7:$A$56,A23)&lt;&gt;1,"Duplicado: pagamento",IF(COUNTIFS(Contratos!$A$7:$A$56,B23)&lt;&gt;1,"Conferir contrato",IF(C23="","Informe descrição",IF(IF(ISNUMBER(D23),OR(D23&lt;DATE(2000,1,1),D23&gt;DATE(2100,12,31),DAY(D23)&lt;&gt;1),TRUE),"Conferir competência",IF(OR(NOT(ISNUMBER(E23)),E23&lt;0),"Conferir valor",IF(OR(NOT(ISNUMBER(F23)),F23&lt;DATE(2000,1,1),F23&gt;DATE(2100,12,31)),"Conferir vencimento",IF(AND(G23&lt;&gt;"",OR(NOT(ISNUMBER(G23)),G23&lt;DATE(2000,1,1),G23&gt;DATE(2100,12,31))),"Conferir pagamento",IF(AND(H23&lt;&gt;"Completa",H23&lt;&gt;"Pendente"),"Conferir documentação",IF(AND(I23&lt;&gt;"Em conferência",I23&lt;&gt;"Encaminhado",I23&lt;&gt;"Pago"),"Conferir etapa","Válido")))))))))))</x:f>
      </x:c>
      <x:c r="L23" s="44" t="str">
        <x:f>IF(K23="","",IF(K23="Válido",E23,0))</x:f>
      </x:c>
      <x:c r="M23" s="57" t="str">
        <x:f>IF(K23="","",IF(K23&lt;&gt;"Válido","Conferir dados",IF(H23="Pendente","Pendente","Completa")))</x:f>
      </x:c>
    </x:row>
    <x:row r="24" ht="42" customHeight="1">
      <x:c r="A24" s="25"/>
      <x:c r="B24" s="25"/>
      <x:c r="C24" s="30"/>
      <x:c r="D24" s="48"/>
      <x:c r="E24" s="43"/>
      <x:c r="F24" s="36"/>
      <x:c r="G24" s="36"/>
      <x:c r="H24" s="56"/>
      <x:c r="I24" s="56"/>
      <x:c r="J24" s="57" t="str">
        <x:f>IF(K24="","",IF(K24&lt;&gt;"Válido","Conferir dados",IF(AND(ISNUMBER(G24),G24&gt;Auxiliar!$B$4),"Conferir data futura",IF(AND(ISNUMBER(G24),G24&lt;=Auxiliar!$B$4),"Pago",IF(F24&lt;Auxiliar!$B$4,"Em atraso","Em aberto")))))</x:f>
      </x:c>
      <x:c r="K24" s="57" t="str">
        <x:f>IF(COUNTA(A24:I24)=0,"",IF(A24="","Informe ID",IF(COUNTIFS($A$7:$A$56,A24)&lt;&gt;1,"Duplicado: pagamento",IF(COUNTIFS(Contratos!$A$7:$A$56,B24)&lt;&gt;1,"Conferir contrato",IF(C24="","Informe descrição",IF(IF(ISNUMBER(D24),OR(D24&lt;DATE(2000,1,1),D24&gt;DATE(2100,12,31),DAY(D24)&lt;&gt;1),TRUE),"Conferir competência",IF(OR(NOT(ISNUMBER(E24)),E24&lt;0),"Conferir valor",IF(OR(NOT(ISNUMBER(F24)),F24&lt;DATE(2000,1,1),F24&gt;DATE(2100,12,31)),"Conferir vencimento",IF(AND(G24&lt;&gt;"",OR(NOT(ISNUMBER(G24)),G24&lt;DATE(2000,1,1),G24&gt;DATE(2100,12,31))),"Conferir pagamento",IF(AND(H24&lt;&gt;"Completa",H24&lt;&gt;"Pendente"),"Conferir documentação",IF(AND(I24&lt;&gt;"Em conferência",I24&lt;&gt;"Encaminhado",I24&lt;&gt;"Pago"),"Conferir etapa","Válido")))))))))))</x:f>
      </x:c>
      <x:c r="L24" s="44" t="str">
        <x:f>IF(K24="","",IF(K24="Válido",E24,0))</x:f>
      </x:c>
      <x:c r="M24" s="57" t="str">
        <x:f>IF(K24="","",IF(K24&lt;&gt;"Válido","Conferir dados",IF(H24="Pendente","Pendente","Completa")))</x:f>
      </x:c>
    </x:row>
    <x:row r="25" ht="42" customHeight="1">
      <x:c r="A25" s="25"/>
      <x:c r="B25" s="25"/>
      <x:c r="C25" s="30"/>
      <x:c r="D25" s="48"/>
      <x:c r="E25" s="43"/>
      <x:c r="F25" s="36"/>
      <x:c r="G25" s="36"/>
      <x:c r="H25" s="56"/>
      <x:c r="I25" s="56"/>
      <x:c r="J25" s="57" t="str">
        <x:f>IF(K25="","",IF(K25&lt;&gt;"Válido","Conferir dados",IF(AND(ISNUMBER(G25),G25&gt;Auxiliar!$B$4),"Conferir data futura",IF(AND(ISNUMBER(G25),G25&lt;=Auxiliar!$B$4),"Pago",IF(F25&lt;Auxiliar!$B$4,"Em atraso","Em aberto")))))</x:f>
      </x:c>
      <x:c r="K25" s="57" t="str">
        <x:f>IF(COUNTA(A25:I25)=0,"",IF(A25="","Informe ID",IF(COUNTIFS($A$7:$A$56,A25)&lt;&gt;1,"Duplicado: pagamento",IF(COUNTIFS(Contratos!$A$7:$A$56,B25)&lt;&gt;1,"Conferir contrato",IF(C25="","Informe descrição",IF(IF(ISNUMBER(D25),OR(D25&lt;DATE(2000,1,1),D25&gt;DATE(2100,12,31),DAY(D25)&lt;&gt;1),TRUE),"Conferir competência",IF(OR(NOT(ISNUMBER(E25)),E25&lt;0),"Conferir valor",IF(OR(NOT(ISNUMBER(F25)),F25&lt;DATE(2000,1,1),F25&gt;DATE(2100,12,31)),"Conferir vencimento",IF(AND(G25&lt;&gt;"",OR(NOT(ISNUMBER(G25)),G25&lt;DATE(2000,1,1),G25&gt;DATE(2100,12,31))),"Conferir pagamento",IF(AND(H25&lt;&gt;"Completa",H25&lt;&gt;"Pendente"),"Conferir documentação",IF(AND(I25&lt;&gt;"Em conferência",I25&lt;&gt;"Encaminhado",I25&lt;&gt;"Pago"),"Conferir etapa","Válido")))))))))))</x:f>
      </x:c>
      <x:c r="L25" s="44" t="str">
        <x:f>IF(K25="","",IF(K25="Válido",E25,0))</x:f>
      </x:c>
      <x:c r="M25" s="57" t="str">
        <x:f>IF(K25="","",IF(K25&lt;&gt;"Válido","Conferir dados",IF(H25="Pendente","Pendente","Completa")))</x:f>
      </x:c>
    </x:row>
    <x:row r="26" ht="42" customHeight="1">
      <x:c r="A26" s="25"/>
      <x:c r="B26" s="25"/>
      <x:c r="C26" s="30"/>
      <x:c r="D26" s="48"/>
      <x:c r="E26" s="43"/>
      <x:c r="F26" s="36"/>
      <x:c r="G26" s="36"/>
      <x:c r="H26" s="56"/>
      <x:c r="I26" s="56"/>
      <x:c r="J26" s="57" t="str">
        <x:f>IF(K26="","",IF(K26&lt;&gt;"Válido","Conferir dados",IF(AND(ISNUMBER(G26),G26&gt;Auxiliar!$B$4),"Conferir data futura",IF(AND(ISNUMBER(G26),G26&lt;=Auxiliar!$B$4),"Pago",IF(F26&lt;Auxiliar!$B$4,"Em atraso","Em aberto")))))</x:f>
      </x:c>
      <x:c r="K26" s="57" t="str">
        <x:f>IF(COUNTA(A26:I26)=0,"",IF(A26="","Informe ID",IF(COUNTIFS($A$7:$A$56,A26)&lt;&gt;1,"Duplicado: pagamento",IF(COUNTIFS(Contratos!$A$7:$A$56,B26)&lt;&gt;1,"Conferir contrato",IF(C26="","Informe descrição",IF(IF(ISNUMBER(D26),OR(D26&lt;DATE(2000,1,1),D26&gt;DATE(2100,12,31),DAY(D26)&lt;&gt;1),TRUE),"Conferir competência",IF(OR(NOT(ISNUMBER(E26)),E26&lt;0),"Conferir valor",IF(OR(NOT(ISNUMBER(F26)),F26&lt;DATE(2000,1,1),F26&gt;DATE(2100,12,31)),"Conferir vencimento",IF(AND(G26&lt;&gt;"",OR(NOT(ISNUMBER(G26)),G26&lt;DATE(2000,1,1),G26&gt;DATE(2100,12,31))),"Conferir pagamento",IF(AND(H26&lt;&gt;"Completa",H26&lt;&gt;"Pendente"),"Conferir documentação",IF(AND(I26&lt;&gt;"Em conferência",I26&lt;&gt;"Encaminhado",I26&lt;&gt;"Pago"),"Conferir etapa","Válido")))))))))))</x:f>
      </x:c>
      <x:c r="L26" s="44" t="str">
        <x:f>IF(K26="","",IF(K26="Válido",E26,0))</x:f>
      </x:c>
      <x:c r="M26" s="57" t="str">
        <x:f>IF(K26="","",IF(K26&lt;&gt;"Válido","Conferir dados",IF(H26="Pendente","Pendente","Completa")))</x:f>
      </x:c>
    </x:row>
    <x:row r="27" ht="42" customHeight="1">
      <x:c r="A27" s="25"/>
      <x:c r="B27" s="25"/>
      <x:c r="C27" s="30"/>
      <x:c r="D27" s="48"/>
      <x:c r="E27" s="43"/>
      <x:c r="F27" s="36"/>
      <x:c r="G27" s="36"/>
      <x:c r="H27" s="56"/>
      <x:c r="I27" s="56"/>
      <x:c r="J27" s="57" t="str">
        <x:f>IF(K27="","",IF(K27&lt;&gt;"Válido","Conferir dados",IF(AND(ISNUMBER(G27),G27&gt;Auxiliar!$B$4),"Conferir data futura",IF(AND(ISNUMBER(G27),G27&lt;=Auxiliar!$B$4),"Pago",IF(F27&lt;Auxiliar!$B$4,"Em atraso","Em aberto")))))</x:f>
      </x:c>
      <x:c r="K27" s="57" t="str">
        <x:f>IF(COUNTA(A27:I27)=0,"",IF(A27="","Informe ID",IF(COUNTIFS($A$7:$A$56,A27)&lt;&gt;1,"Duplicado: pagamento",IF(COUNTIFS(Contratos!$A$7:$A$56,B27)&lt;&gt;1,"Conferir contrato",IF(C27="","Informe descrição",IF(IF(ISNUMBER(D27),OR(D27&lt;DATE(2000,1,1),D27&gt;DATE(2100,12,31),DAY(D27)&lt;&gt;1),TRUE),"Conferir competência",IF(OR(NOT(ISNUMBER(E27)),E27&lt;0),"Conferir valor",IF(OR(NOT(ISNUMBER(F27)),F27&lt;DATE(2000,1,1),F27&gt;DATE(2100,12,31)),"Conferir vencimento",IF(AND(G27&lt;&gt;"",OR(NOT(ISNUMBER(G27)),G27&lt;DATE(2000,1,1),G27&gt;DATE(2100,12,31))),"Conferir pagamento",IF(AND(H27&lt;&gt;"Completa",H27&lt;&gt;"Pendente"),"Conferir documentação",IF(AND(I27&lt;&gt;"Em conferência",I27&lt;&gt;"Encaminhado",I27&lt;&gt;"Pago"),"Conferir etapa","Válido")))))))))))</x:f>
      </x:c>
      <x:c r="L27" s="44" t="str">
        <x:f>IF(K27="","",IF(K27="Válido",E27,0))</x:f>
      </x:c>
      <x:c r="M27" s="57" t="str">
        <x:f>IF(K27="","",IF(K27&lt;&gt;"Válido","Conferir dados",IF(H27="Pendente","Pendente","Completa")))</x:f>
      </x:c>
    </x:row>
    <x:row r="28" ht="42" customHeight="1">
      <x:c r="A28" s="25"/>
      <x:c r="B28" s="25"/>
      <x:c r="C28" s="30"/>
      <x:c r="D28" s="48"/>
      <x:c r="E28" s="43"/>
      <x:c r="F28" s="36"/>
      <x:c r="G28" s="36"/>
      <x:c r="H28" s="56"/>
      <x:c r="I28" s="56"/>
      <x:c r="J28" s="57" t="str">
        <x:f>IF(K28="","",IF(K28&lt;&gt;"Válido","Conferir dados",IF(AND(ISNUMBER(G28),G28&gt;Auxiliar!$B$4),"Conferir data futura",IF(AND(ISNUMBER(G28),G28&lt;=Auxiliar!$B$4),"Pago",IF(F28&lt;Auxiliar!$B$4,"Em atraso","Em aberto")))))</x:f>
      </x:c>
      <x:c r="K28" s="57" t="str">
        <x:f>IF(COUNTA(A28:I28)=0,"",IF(A28="","Informe ID",IF(COUNTIFS($A$7:$A$56,A28)&lt;&gt;1,"Duplicado: pagamento",IF(COUNTIFS(Contratos!$A$7:$A$56,B28)&lt;&gt;1,"Conferir contrato",IF(C28="","Informe descrição",IF(IF(ISNUMBER(D28),OR(D28&lt;DATE(2000,1,1),D28&gt;DATE(2100,12,31),DAY(D28)&lt;&gt;1),TRUE),"Conferir competência",IF(OR(NOT(ISNUMBER(E28)),E28&lt;0),"Conferir valor",IF(OR(NOT(ISNUMBER(F28)),F28&lt;DATE(2000,1,1),F28&gt;DATE(2100,12,31)),"Conferir vencimento",IF(AND(G28&lt;&gt;"",OR(NOT(ISNUMBER(G28)),G28&lt;DATE(2000,1,1),G28&gt;DATE(2100,12,31))),"Conferir pagamento",IF(AND(H28&lt;&gt;"Completa",H28&lt;&gt;"Pendente"),"Conferir documentação",IF(AND(I28&lt;&gt;"Em conferência",I28&lt;&gt;"Encaminhado",I28&lt;&gt;"Pago"),"Conferir etapa","Válido")))))))))))</x:f>
      </x:c>
      <x:c r="L28" s="44" t="str">
        <x:f>IF(K28="","",IF(K28="Válido",E28,0))</x:f>
      </x:c>
      <x:c r="M28" s="57" t="str">
        <x:f>IF(K28="","",IF(K28&lt;&gt;"Válido","Conferir dados",IF(H28="Pendente","Pendente","Completa")))</x:f>
      </x:c>
    </x:row>
    <x:row r="29" ht="42" customHeight="1">
      <x:c r="A29" s="25"/>
      <x:c r="B29" s="25"/>
      <x:c r="C29" s="30"/>
      <x:c r="D29" s="48"/>
      <x:c r="E29" s="43"/>
      <x:c r="F29" s="36"/>
      <x:c r="G29" s="36"/>
      <x:c r="H29" s="56"/>
      <x:c r="I29" s="56"/>
      <x:c r="J29" s="57" t="str">
        <x:f>IF(K29="","",IF(K29&lt;&gt;"Válido","Conferir dados",IF(AND(ISNUMBER(G29),G29&gt;Auxiliar!$B$4),"Conferir data futura",IF(AND(ISNUMBER(G29),G29&lt;=Auxiliar!$B$4),"Pago",IF(F29&lt;Auxiliar!$B$4,"Em atraso","Em aberto")))))</x:f>
      </x:c>
      <x:c r="K29" s="57" t="str">
        <x:f>IF(COUNTA(A29:I29)=0,"",IF(A29="","Informe ID",IF(COUNTIFS($A$7:$A$56,A29)&lt;&gt;1,"Duplicado: pagamento",IF(COUNTIFS(Contratos!$A$7:$A$56,B29)&lt;&gt;1,"Conferir contrato",IF(C29="","Informe descrição",IF(IF(ISNUMBER(D29),OR(D29&lt;DATE(2000,1,1),D29&gt;DATE(2100,12,31),DAY(D29)&lt;&gt;1),TRUE),"Conferir competência",IF(OR(NOT(ISNUMBER(E29)),E29&lt;0),"Conferir valor",IF(OR(NOT(ISNUMBER(F29)),F29&lt;DATE(2000,1,1),F29&gt;DATE(2100,12,31)),"Conferir vencimento",IF(AND(G29&lt;&gt;"",OR(NOT(ISNUMBER(G29)),G29&lt;DATE(2000,1,1),G29&gt;DATE(2100,12,31))),"Conferir pagamento",IF(AND(H29&lt;&gt;"Completa",H29&lt;&gt;"Pendente"),"Conferir documentação",IF(AND(I29&lt;&gt;"Em conferência",I29&lt;&gt;"Encaminhado",I29&lt;&gt;"Pago"),"Conferir etapa","Válido")))))))))))</x:f>
      </x:c>
      <x:c r="L29" s="44" t="str">
        <x:f>IF(K29="","",IF(K29="Válido",E29,0))</x:f>
      </x:c>
      <x:c r="M29" s="57" t="str">
        <x:f>IF(K29="","",IF(K29&lt;&gt;"Válido","Conferir dados",IF(H29="Pendente","Pendente","Completa")))</x:f>
      </x:c>
    </x:row>
    <x:row r="30" ht="42" customHeight="1">
      <x:c r="A30" s="25"/>
      <x:c r="B30" s="25"/>
      <x:c r="C30" s="30"/>
      <x:c r="D30" s="48"/>
      <x:c r="E30" s="43"/>
      <x:c r="F30" s="36"/>
      <x:c r="G30" s="36"/>
      <x:c r="H30" s="56"/>
      <x:c r="I30" s="56"/>
      <x:c r="J30" s="57" t="str">
        <x:f>IF(K30="","",IF(K30&lt;&gt;"Válido","Conferir dados",IF(AND(ISNUMBER(G30),G30&gt;Auxiliar!$B$4),"Conferir data futura",IF(AND(ISNUMBER(G30),G30&lt;=Auxiliar!$B$4),"Pago",IF(F30&lt;Auxiliar!$B$4,"Em atraso","Em aberto")))))</x:f>
      </x:c>
      <x:c r="K30" s="57" t="str">
        <x:f>IF(COUNTA(A30:I30)=0,"",IF(A30="","Informe ID",IF(COUNTIFS($A$7:$A$56,A30)&lt;&gt;1,"Duplicado: pagamento",IF(COUNTIFS(Contratos!$A$7:$A$56,B30)&lt;&gt;1,"Conferir contrato",IF(C30="","Informe descrição",IF(IF(ISNUMBER(D30),OR(D30&lt;DATE(2000,1,1),D30&gt;DATE(2100,12,31),DAY(D30)&lt;&gt;1),TRUE),"Conferir competência",IF(OR(NOT(ISNUMBER(E30)),E30&lt;0),"Conferir valor",IF(OR(NOT(ISNUMBER(F30)),F30&lt;DATE(2000,1,1),F30&gt;DATE(2100,12,31)),"Conferir vencimento",IF(AND(G30&lt;&gt;"",OR(NOT(ISNUMBER(G30)),G30&lt;DATE(2000,1,1),G30&gt;DATE(2100,12,31))),"Conferir pagamento",IF(AND(H30&lt;&gt;"Completa",H30&lt;&gt;"Pendente"),"Conferir documentação",IF(AND(I30&lt;&gt;"Em conferência",I30&lt;&gt;"Encaminhado",I30&lt;&gt;"Pago"),"Conferir etapa","Válido")))))))))))</x:f>
      </x:c>
      <x:c r="L30" s="44" t="str">
        <x:f>IF(K30="","",IF(K30="Válido",E30,0))</x:f>
      </x:c>
      <x:c r="M30" s="57" t="str">
        <x:f>IF(K30="","",IF(K30&lt;&gt;"Válido","Conferir dados",IF(H30="Pendente","Pendente","Completa")))</x:f>
      </x:c>
    </x:row>
    <x:row r="31" ht="42" customHeight="1">
      <x:c r="A31" s="25"/>
      <x:c r="B31" s="25"/>
      <x:c r="C31" s="30"/>
      <x:c r="D31" s="48"/>
      <x:c r="E31" s="43"/>
      <x:c r="F31" s="36"/>
      <x:c r="G31" s="36"/>
      <x:c r="H31" s="56"/>
      <x:c r="I31" s="56"/>
      <x:c r="J31" s="57" t="str">
        <x:f>IF(K31="","",IF(K31&lt;&gt;"Válido","Conferir dados",IF(AND(ISNUMBER(G31),G31&gt;Auxiliar!$B$4),"Conferir data futura",IF(AND(ISNUMBER(G31),G31&lt;=Auxiliar!$B$4),"Pago",IF(F31&lt;Auxiliar!$B$4,"Em atraso","Em aberto")))))</x:f>
      </x:c>
      <x:c r="K31" s="57" t="str">
        <x:f>IF(COUNTA(A31:I31)=0,"",IF(A31="","Informe ID",IF(COUNTIFS($A$7:$A$56,A31)&lt;&gt;1,"Duplicado: pagamento",IF(COUNTIFS(Contratos!$A$7:$A$56,B31)&lt;&gt;1,"Conferir contrato",IF(C31="","Informe descrição",IF(IF(ISNUMBER(D31),OR(D31&lt;DATE(2000,1,1),D31&gt;DATE(2100,12,31),DAY(D31)&lt;&gt;1),TRUE),"Conferir competência",IF(OR(NOT(ISNUMBER(E31)),E31&lt;0),"Conferir valor",IF(OR(NOT(ISNUMBER(F31)),F31&lt;DATE(2000,1,1),F31&gt;DATE(2100,12,31)),"Conferir vencimento",IF(AND(G31&lt;&gt;"",OR(NOT(ISNUMBER(G31)),G31&lt;DATE(2000,1,1),G31&gt;DATE(2100,12,31))),"Conferir pagamento",IF(AND(H31&lt;&gt;"Completa",H31&lt;&gt;"Pendente"),"Conferir documentação",IF(AND(I31&lt;&gt;"Em conferência",I31&lt;&gt;"Encaminhado",I31&lt;&gt;"Pago"),"Conferir etapa","Válido")))))))))))</x:f>
      </x:c>
      <x:c r="L31" s="44" t="str">
        <x:f>IF(K31="","",IF(K31="Válido",E31,0))</x:f>
      </x:c>
      <x:c r="M31" s="57" t="str">
        <x:f>IF(K31="","",IF(K31&lt;&gt;"Válido","Conferir dados",IF(H31="Pendente","Pendente","Completa")))</x:f>
      </x:c>
    </x:row>
    <x:row r="32" ht="42" customHeight="1">
      <x:c r="A32" s="25"/>
      <x:c r="B32" s="25"/>
      <x:c r="C32" s="30"/>
      <x:c r="D32" s="48"/>
      <x:c r="E32" s="43"/>
      <x:c r="F32" s="36"/>
      <x:c r="G32" s="36"/>
      <x:c r="H32" s="56"/>
      <x:c r="I32" s="56"/>
      <x:c r="J32" s="57" t="str">
        <x:f>IF(K32="","",IF(K32&lt;&gt;"Válido","Conferir dados",IF(AND(ISNUMBER(G32),G32&gt;Auxiliar!$B$4),"Conferir data futura",IF(AND(ISNUMBER(G32),G32&lt;=Auxiliar!$B$4),"Pago",IF(F32&lt;Auxiliar!$B$4,"Em atraso","Em aberto")))))</x:f>
      </x:c>
      <x:c r="K32" s="57" t="str">
        <x:f>IF(COUNTA(A32:I32)=0,"",IF(A32="","Informe ID",IF(COUNTIFS($A$7:$A$56,A32)&lt;&gt;1,"Duplicado: pagamento",IF(COUNTIFS(Contratos!$A$7:$A$56,B32)&lt;&gt;1,"Conferir contrato",IF(C32="","Informe descrição",IF(IF(ISNUMBER(D32),OR(D32&lt;DATE(2000,1,1),D32&gt;DATE(2100,12,31),DAY(D32)&lt;&gt;1),TRUE),"Conferir competência",IF(OR(NOT(ISNUMBER(E32)),E32&lt;0),"Conferir valor",IF(OR(NOT(ISNUMBER(F32)),F32&lt;DATE(2000,1,1),F32&gt;DATE(2100,12,31)),"Conferir vencimento",IF(AND(G32&lt;&gt;"",OR(NOT(ISNUMBER(G32)),G32&lt;DATE(2000,1,1),G32&gt;DATE(2100,12,31))),"Conferir pagamento",IF(AND(H32&lt;&gt;"Completa",H32&lt;&gt;"Pendente"),"Conferir documentação",IF(AND(I32&lt;&gt;"Em conferência",I32&lt;&gt;"Encaminhado",I32&lt;&gt;"Pago"),"Conferir etapa","Válido")))))))))))</x:f>
      </x:c>
      <x:c r="L32" s="44" t="str">
        <x:f>IF(K32="","",IF(K32="Válido",E32,0))</x:f>
      </x:c>
      <x:c r="M32" s="57" t="str">
        <x:f>IF(K32="","",IF(K32&lt;&gt;"Válido","Conferir dados",IF(H32="Pendente","Pendente","Completa")))</x:f>
      </x:c>
    </x:row>
    <x:row r="33" ht="42" customHeight="1">
      <x:c r="A33" s="25"/>
      <x:c r="B33" s="25"/>
      <x:c r="C33" s="30"/>
      <x:c r="D33" s="48"/>
      <x:c r="E33" s="43"/>
      <x:c r="F33" s="36"/>
      <x:c r="G33" s="36"/>
      <x:c r="H33" s="56"/>
      <x:c r="I33" s="56"/>
      <x:c r="J33" s="57" t="str">
        <x:f>IF(K33="","",IF(K33&lt;&gt;"Válido","Conferir dados",IF(AND(ISNUMBER(G33),G33&gt;Auxiliar!$B$4),"Conferir data futura",IF(AND(ISNUMBER(G33),G33&lt;=Auxiliar!$B$4),"Pago",IF(F33&lt;Auxiliar!$B$4,"Em atraso","Em aberto")))))</x:f>
      </x:c>
      <x:c r="K33" s="57" t="str">
        <x:f>IF(COUNTA(A33:I33)=0,"",IF(A33="","Informe ID",IF(COUNTIFS($A$7:$A$56,A33)&lt;&gt;1,"Duplicado: pagamento",IF(COUNTIFS(Contratos!$A$7:$A$56,B33)&lt;&gt;1,"Conferir contrato",IF(C33="","Informe descrição",IF(IF(ISNUMBER(D33),OR(D33&lt;DATE(2000,1,1),D33&gt;DATE(2100,12,31),DAY(D33)&lt;&gt;1),TRUE),"Conferir competência",IF(OR(NOT(ISNUMBER(E33)),E33&lt;0),"Conferir valor",IF(OR(NOT(ISNUMBER(F33)),F33&lt;DATE(2000,1,1),F33&gt;DATE(2100,12,31)),"Conferir vencimento",IF(AND(G33&lt;&gt;"",OR(NOT(ISNUMBER(G33)),G33&lt;DATE(2000,1,1),G33&gt;DATE(2100,12,31))),"Conferir pagamento",IF(AND(H33&lt;&gt;"Completa",H33&lt;&gt;"Pendente"),"Conferir documentação",IF(AND(I33&lt;&gt;"Em conferência",I33&lt;&gt;"Encaminhado",I33&lt;&gt;"Pago"),"Conferir etapa","Válido")))))))))))</x:f>
      </x:c>
      <x:c r="L33" s="44" t="str">
        <x:f>IF(K33="","",IF(K33="Válido",E33,0))</x:f>
      </x:c>
      <x:c r="M33" s="57" t="str">
        <x:f>IF(K33="","",IF(K33&lt;&gt;"Válido","Conferir dados",IF(H33="Pendente","Pendente","Completa")))</x:f>
      </x:c>
    </x:row>
    <x:row r="34" ht="42" customHeight="1">
      <x:c r="A34" s="25"/>
      <x:c r="B34" s="25"/>
      <x:c r="C34" s="30"/>
      <x:c r="D34" s="48"/>
      <x:c r="E34" s="43"/>
      <x:c r="F34" s="36"/>
      <x:c r="G34" s="36"/>
      <x:c r="H34" s="56"/>
      <x:c r="I34" s="56"/>
      <x:c r="J34" s="57" t="str">
        <x:f>IF(K34="","",IF(K34&lt;&gt;"Válido","Conferir dados",IF(AND(ISNUMBER(G34),G34&gt;Auxiliar!$B$4),"Conferir data futura",IF(AND(ISNUMBER(G34),G34&lt;=Auxiliar!$B$4),"Pago",IF(F34&lt;Auxiliar!$B$4,"Em atraso","Em aberto")))))</x:f>
      </x:c>
      <x:c r="K34" s="57" t="str">
        <x:f>IF(COUNTA(A34:I34)=0,"",IF(A34="","Informe ID",IF(COUNTIFS($A$7:$A$56,A34)&lt;&gt;1,"Duplicado: pagamento",IF(COUNTIFS(Contratos!$A$7:$A$56,B34)&lt;&gt;1,"Conferir contrato",IF(C34="","Informe descrição",IF(IF(ISNUMBER(D34),OR(D34&lt;DATE(2000,1,1),D34&gt;DATE(2100,12,31),DAY(D34)&lt;&gt;1),TRUE),"Conferir competência",IF(OR(NOT(ISNUMBER(E34)),E34&lt;0),"Conferir valor",IF(OR(NOT(ISNUMBER(F34)),F34&lt;DATE(2000,1,1),F34&gt;DATE(2100,12,31)),"Conferir vencimento",IF(AND(G34&lt;&gt;"",OR(NOT(ISNUMBER(G34)),G34&lt;DATE(2000,1,1),G34&gt;DATE(2100,12,31))),"Conferir pagamento",IF(AND(H34&lt;&gt;"Completa",H34&lt;&gt;"Pendente"),"Conferir documentação",IF(AND(I34&lt;&gt;"Em conferência",I34&lt;&gt;"Encaminhado",I34&lt;&gt;"Pago"),"Conferir etapa","Válido")))))))))))</x:f>
      </x:c>
      <x:c r="L34" s="44" t="str">
        <x:f>IF(K34="","",IF(K34="Válido",E34,0))</x:f>
      </x:c>
      <x:c r="M34" s="57" t="str">
        <x:f>IF(K34="","",IF(K34&lt;&gt;"Válido","Conferir dados",IF(H34="Pendente","Pendente","Completa")))</x:f>
      </x:c>
    </x:row>
    <x:row r="35" ht="42" customHeight="1">
      <x:c r="A35" s="25"/>
      <x:c r="B35" s="25"/>
      <x:c r="C35" s="30"/>
      <x:c r="D35" s="48"/>
      <x:c r="E35" s="43"/>
      <x:c r="F35" s="36"/>
      <x:c r="G35" s="36"/>
      <x:c r="H35" s="56"/>
      <x:c r="I35" s="56"/>
      <x:c r="J35" s="57" t="str">
        <x:f>IF(K35="","",IF(K35&lt;&gt;"Válido","Conferir dados",IF(AND(ISNUMBER(G35),G35&gt;Auxiliar!$B$4),"Conferir data futura",IF(AND(ISNUMBER(G35),G35&lt;=Auxiliar!$B$4),"Pago",IF(F35&lt;Auxiliar!$B$4,"Em atraso","Em aberto")))))</x:f>
      </x:c>
      <x:c r="K35" s="57" t="str">
        <x:f>IF(COUNTA(A35:I35)=0,"",IF(A35="","Informe ID",IF(COUNTIFS($A$7:$A$56,A35)&lt;&gt;1,"Duplicado: pagamento",IF(COUNTIFS(Contratos!$A$7:$A$56,B35)&lt;&gt;1,"Conferir contrato",IF(C35="","Informe descrição",IF(IF(ISNUMBER(D35),OR(D35&lt;DATE(2000,1,1),D35&gt;DATE(2100,12,31),DAY(D35)&lt;&gt;1),TRUE),"Conferir competência",IF(OR(NOT(ISNUMBER(E35)),E35&lt;0),"Conferir valor",IF(OR(NOT(ISNUMBER(F35)),F35&lt;DATE(2000,1,1),F35&gt;DATE(2100,12,31)),"Conferir vencimento",IF(AND(G35&lt;&gt;"",OR(NOT(ISNUMBER(G35)),G35&lt;DATE(2000,1,1),G35&gt;DATE(2100,12,31))),"Conferir pagamento",IF(AND(H35&lt;&gt;"Completa",H35&lt;&gt;"Pendente"),"Conferir documentação",IF(AND(I35&lt;&gt;"Em conferência",I35&lt;&gt;"Encaminhado",I35&lt;&gt;"Pago"),"Conferir etapa","Válido")))))))))))</x:f>
      </x:c>
      <x:c r="L35" s="44" t="str">
        <x:f>IF(K35="","",IF(K35="Válido",E35,0))</x:f>
      </x:c>
      <x:c r="M35" s="57" t="str">
        <x:f>IF(K35="","",IF(K35&lt;&gt;"Válido","Conferir dados",IF(H35="Pendente","Pendente","Completa")))</x:f>
      </x:c>
    </x:row>
    <x:row r="36" ht="42" customHeight="1">
      <x:c r="A36" s="25"/>
      <x:c r="B36" s="25"/>
      <x:c r="C36" s="30"/>
      <x:c r="D36" s="48"/>
      <x:c r="E36" s="43"/>
      <x:c r="F36" s="36"/>
      <x:c r="G36" s="36"/>
      <x:c r="H36" s="56"/>
      <x:c r="I36" s="56"/>
      <x:c r="J36" s="57" t="str">
        <x:f>IF(K36="","",IF(K36&lt;&gt;"Válido","Conferir dados",IF(AND(ISNUMBER(G36),G36&gt;Auxiliar!$B$4),"Conferir data futura",IF(AND(ISNUMBER(G36),G36&lt;=Auxiliar!$B$4),"Pago",IF(F36&lt;Auxiliar!$B$4,"Em atraso","Em aberto")))))</x:f>
      </x:c>
      <x:c r="K36" s="57" t="str">
        <x:f>IF(COUNTA(A36:I36)=0,"",IF(A36="","Informe ID",IF(COUNTIFS($A$7:$A$56,A36)&lt;&gt;1,"Duplicado: pagamento",IF(COUNTIFS(Contratos!$A$7:$A$56,B36)&lt;&gt;1,"Conferir contrato",IF(C36="","Informe descrição",IF(IF(ISNUMBER(D36),OR(D36&lt;DATE(2000,1,1),D36&gt;DATE(2100,12,31),DAY(D36)&lt;&gt;1),TRUE),"Conferir competência",IF(OR(NOT(ISNUMBER(E36)),E36&lt;0),"Conferir valor",IF(OR(NOT(ISNUMBER(F36)),F36&lt;DATE(2000,1,1),F36&gt;DATE(2100,12,31)),"Conferir vencimento",IF(AND(G36&lt;&gt;"",OR(NOT(ISNUMBER(G36)),G36&lt;DATE(2000,1,1),G36&gt;DATE(2100,12,31))),"Conferir pagamento",IF(AND(H36&lt;&gt;"Completa",H36&lt;&gt;"Pendente"),"Conferir documentação",IF(AND(I36&lt;&gt;"Em conferência",I36&lt;&gt;"Encaminhado",I36&lt;&gt;"Pago"),"Conferir etapa","Válido")))))))))))</x:f>
      </x:c>
      <x:c r="L36" s="44" t="str">
        <x:f>IF(K36="","",IF(K36="Válido",E36,0))</x:f>
      </x:c>
      <x:c r="M36" s="57" t="str">
        <x:f>IF(K36="","",IF(K36&lt;&gt;"Válido","Conferir dados",IF(H36="Pendente","Pendente","Completa")))</x:f>
      </x:c>
    </x:row>
    <x:row r="37" ht="42" customHeight="1">
      <x:c r="A37" s="25"/>
      <x:c r="B37" s="25"/>
      <x:c r="C37" s="30"/>
      <x:c r="D37" s="48"/>
      <x:c r="E37" s="43"/>
      <x:c r="F37" s="36"/>
      <x:c r="G37" s="36"/>
      <x:c r="H37" s="56"/>
      <x:c r="I37" s="56"/>
      <x:c r="J37" s="57" t="str">
        <x:f>IF(K37="","",IF(K37&lt;&gt;"Válido","Conferir dados",IF(AND(ISNUMBER(G37),G37&gt;Auxiliar!$B$4),"Conferir data futura",IF(AND(ISNUMBER(G37),G37&lt;=Auxiliar!$B$4),"Pago",IF(F37&lt;Auxiliar!$B$4,"Em atraso","Em aberto")))))</x:f>
      </x:c>
      <x:c r="K37" s="57" t="str">
        <x:f>IF(COUNTA(A37:I37)=0,"",IF(A37="","Informe ID",IF(COUNTIFS($A$7:$A$56,A37)&lt;&gt;1,"Duplicado: pagamento",IF(COUNTIFS(Contratos!$A$7:$A$56,B37)&lt;&gt;1,"Conferir contrato",IF(C37="","Informe descrição",IF(IF(ISNUMBER(D37),OR(D37&lt;DATE(2000,1,1),D37&gt;DATE(2100,12,31),DAY(D37)&lt;&gt;1),TRUE),"Conferir competência",IF(OR(NOT(ISNUMBER(E37)),E37&lt;0),"Conferir valor",IF(OR(NOT(ISNUMBER(F37)),F37&lt;DATE(2000,1,1),F37&gt;DATE(2100,12,31)),"Conferir vencimento",IF(AND(G37&lt;&gt;"",OR(NOT(ISNUMBER(G37)),G37&lt;DATE(2000,1,1),G37&gt;DATE(2100,12,31))),"Conferir pagamento",IF(AND(H37&lt;&gt;"Completa",H37&lt;&gt;"Pendente"),"Conferir documentação",IF(AND(I37&lt;&gt;"Em conferência",I37&lt;&gt;"Encaminhado",I37&lt;&gt;"Pago"),"Conferir etapa","Válido")))))))))))</x:f>
      </x:c>
      <x:c r="L37" s="44" t="str">
        <x:f>IF(K37="","",IF(K37="Válido",E37,0))</x:f>
      </x:c>
      <x:c r="M37" s="57" t="str">
        <x:f>IF(K37="","",IF(K37&lt;&gt;"Válido","Conferir dados",IF(H37="Pendente","Pendente","Completa")))</x:f>
      </x:c>
    </x:row>
    <x:row r="38" ht="42" customHeight="1">
      <x:c r="A38" s="25"/>
      <x:c r="B38" s="25"/>
      <x:c r="C38" s="30"/>
      <x:c r="D38" s="48"/>
      <x:c r="E38" s="43"/>
      <x:c r="F38" s="36"/>
      <x:c r="G38" s="36"/>
      <x:c r="H38" s="56"/>
      <x:c r="I38" s="56"/>
      <x:c r="J38" s="57" t="str">
        <x:f>IF(K38="","",IF(K38&lt;&gt;"Válido","Conferir dados",IF(AND(ISNUMBER(G38),G38&gt;Auxiliar!$B$4),"Conferir data futura",IF(AND(ISNUMBER(G38),G38&lt;=Auxiliar!$B$4),"Pago",IF(F38&lt;Auxiliar!$B$4,"Em atraso","Em aberto")))))</x:f>
      </x:c>
      <x:c r="K38" s="57" t="str">
        <x:f>IF(COUNTA(A38:I38)=0,"",IF(A38="","Informe ID",IF(COUNTIFS($A$7:$A$56,A38)&lt;&gt;1,"Duplicado: pagamento",IF(COUNTIFS(Contratos!$A$7:$A$56,B38)&lt;&gt;1,"Conferir contrato",IF(C38="","Informe descrição",IF(IF(ISNUMBER(D38),OR(D38&lt;DATE(2000,1,1),D38&gt;DATE(2100,12,31),DAY(D38)&lt;&gt;1),TRUE),"Conferir competência",IF(OR(NOT(ISNUMBER(E38)),E38&lt;0),"Conferir valor",IF(OR(NOT(ISNUMBER(F38)),F38&lt;DATE(2000,1,1),F38&gt;DATE(2100,12,31)),"Conferir vencimento",IF(AND(G38&lt;&gt;"",OR(NOT(ISNUMBER(G38)),G38&lt;DATE(2000,1,1),G38&gt;DATE(2100,12,31))),"Conferir pagamento",IF(AND(H38&lt;&gt;"Completa",H38&lt;&gt;"Pendente"),"Conferir documentação",IF(AND(I38&lt;&gt;"Em conferência",I38&lt;&gt;"Encaminhado",I38&lt;&gt;"Pago"),"Conferir etapa","Válido")))))))))))</x:f>
      </x:c>
      <x:c r="L38" s="44" t="str">
        <x:f>IF(K38="","",IF(K38="Válido",E38,0))</x:f>
      </x:c>
      <x:c r="M38" s="57" t="str">
        <x:f>IF(K38="","",IF(K38&lt;&gt;"Válido","Conferir dados",IF(H38="Pendente","Pendente","Completa")))</x:f>
      </x:c>
    </x:row>
    <x:row r="39" ht="42" customHeight="1">
      <x:c r="A39" s="25"/>
      <x:c r="B39" s="25"/>
      <x:c r="C39" s="30"/>
      <x:c r="D39" s="48"/>
      <x:c r="E39" s="43"/>
      <x:c r="F39" s="36"/>
      <x:c r="G39" s="36"/>
      <x:c r="H39" s="56"/>
      <x:c r="I39" s="56"/>
      <x:c r="J39" s="57" t="str">
        <x:f>IF(K39="","",IF(K39&lt;&gt;"Válido","Conferir dados",IF(AND(ISNUMBER(G39),G39&gt;Auxiliar!$B$4),"Conferir data futura",IF(AND(ISNUMBER(G39),G39&lt;=Auxiliar!$B$4),"Pago",IF(F39&lt;Auxiliar!$B$4,"Em atraso","Em aberto")))))</x:f>
      </x:c>
      <x:c r="K39" s="57" t="str">
        <x:f>IF(COUNTA(A39:I39)=0,"",IF(A39="","Informe ID",IF(COUNTIFS($A$7:$A$56,A39)&lt;&gt;1,"Duplicado: pagamento",IF(COUNTIFS(Contratos!$A$7:$A$56,B39)&lt;&gt;1,"Conferir contrato",IF(C39="","Informe descrição",IF(IF(ISNUMBER(D39),OR(D39&lt;DATE(2000,1,1),D39&gt;DATE(2100,12,31),DAY(D39)&lt;&gt;1),TRUE),"Conferir competência",IF(OR(NOT(ISNUMBER(E39)),E39&lt;0),"Conferir valor",IF(OR(NOT(ISNUMBER(F39)),F39&lt;DATE(2000,1,1),F39&gt;DATE(2100,12,31)),"Conferir vencimento",IF(AND(G39&lt;&gt;"",OR(NOT(ISNUMBER(G39)),G39&lt;DATE(2000,1,1),G39&gt;DATE(2100,12,31))),"Conferir pagamento",IF(AND(H39&lt;&gt;"Completa",H39&lt;&gt;"Pendente"),"Conferir documentação",IF(AND(I39&lt;&gt;"Em conferência",I39&lt;&gt;"Encaminhado",I39&lt;&gt;"Pago"),"Conferir etapa","Válido")))))))))))</x:f>
      </x:c>
      <x:c r="L39" s="44" t="str">
        <x:f>IF(K39="","",IF(K39="Válido",E39,0))</x:f>
      </x:c>
      <x:c r="M39" s="57" t="str">
        <x:f>IF(K39="","",IF(K39&lt;&gt;"Válido","Conferir dados",IF(H39="Pendente","Pendente","Completa")))</x:f>
      </x:c>
    </x:row>
    <x:row r="40" ht="42" customHeight="1">
      <x:c r="A40" s="25"/>
      <x:c r="B40" s="25"/>
      <x:c r="C40" s="30"/>
      <x:c r="D40" s="48"/>
      <x:c r="E40" s="43"/>
      <x:c r="F40" s="36"/>
      <x:c r="G40" s="36"/>
      <x:c r="H40" s="56"/>
      <x:c r="I40" s="56"/>
      <x:c r="J40" s="57" t="str">
        <x:f>IF(K40="","",IF(K40&lt;&gt;"Válido","Conferir dados",IF(AND(ISNUMBER(G40),G40&gt;Auxiliar!$B$4),"Conferir data futura",IF(AND(ISNUMBER(G40),G40&lt;=Auxiliar!$B$4),"Pago",IF(F40&lt;Auxiliar!$B$4,"Em atraso","Em aberto")))))</x:f>
      </x:c>
      <x:c r="K40" s="57" t="str">
        <x:f>IF(COUNTA(A40:I40)=0,"",IF(A40="","Informe ID",IF(COUNTIFS($A$7:$A$56,A40)&lt;&gt;1,"Duplicado: pagamento",IF(COUNTIFS(Contratos!$A$7:$A$56,B40)&lt;&gt;1,"Conferir contrato",IF(C40="","Informe descrição",IF(IF(ISNUMBER(D40),OR(D40&lt;DATE(2000,1,1),D40&gt;DATE(2100,12,31),DAY(D40)&lt;&gt;1),TRUE),"Conferir competência",IF(OR(NOT(ISNUMBER(E40)),E40&lt;0),"Conferir valor",IF(OR(NOT(ISNUMBER(F40)),F40&lt;DATE(2000,1,1),F40&gt;DATE(2100,12,31)),"Conferir vencimento",IF(AND(G40&lt;&gt;"",OR(NOT(ISNUMBER(G40)),G40&lt;DATE(2000,1,1),G40&gt;DATE(2100,12,31))),"Conferir pagamento",IF(AND(H40&lt;&gt;"Completa",H40&lt;&gt;"Pendente"),"Conferir documentação",IF(AND(I40&lt;&gt;"Em conferência",I40&lt;&gt;"Encaminhado",I40&lt;&gt;"Pago"),"Conferir etapa","Válido")))))))))))</x:f>
      </x:c>
      <x:c r="L40" s="44" t="str">
        <x:f>IF(K40="","",IF(K40="Válido",E40,0))</x:f>
      </x:c>
      <x:c r="M40" s="57" t="str">
        <x:f>IF(K40="","",IF(K40&lt;&gt;"Válido","Conferir dados",IF(H40="Pendente","Pendente","Completa")))</x:f>
      </x:c>
    </x:row>
    <x:row r="41" ht="42" customHeight="1">
      <x:c r="A41" s="25"/>
      <x:c r="B41" s="25"/>
      <x:c r="C41" s="30"/>
      <x:c r="D41" s="48"/>
      <x:c r="E41" s="43"/>
      <x:c r="F41" s="36"/>
      <x:c r="G41" s="36"/>
      <x:c r="H41" s="56"/>
      <x:c r="I41" s="56"/>
      <x:c r="J41" s="57" t="str">
        <x:f>IF(K41="","",IF(K41&lt;&gt;"Válido","Conferir dados",IF(AND(ISNUMBER(G41),G41&gt;Auxiliar!$B$4),"Conferir data futura",IF(AND(ISNUMBER(G41),G41&lt;=Auxiliar!$B$4),"Pago",IF(F41&lt;Auxiliar!$B$4,"Em atraso","Em aberto")))))</x:f>
      </x:c>
      <x:c r="K41" s="57" t="str">
        <x:f>IF(COUNTA(A41:I41)=0,"",IF(A41="","Informe ID",IF(COUNTIFS($A$7:$A$56,A41)&lt;&gt;1,"Duplicado: pagamento",IF(COUNTIFS(Contratos!$A$7:$A$56,B41)&lt;&gt;1,"Conferir contrato",IF(C41="","Informe descrição",IF(IF(ISNUMBER(D41),OR(D41&lt;DATE(2000,1,1),D41&gt;DATE(2100,12,31),DAY(D41)&lt;&gt;1),TRUE),"Conferir competência",IF(OR(NOT(ISNUMBER(E41)),E41&lt;0),"Conferir valor",IF(OR(NOT(ISNUMBER(F41)),F41&lt;DATE(2000,1,1),F41&gt;DATE(2100,12,31)),"Conferir vencimento",IF(AND(G41&lt;&gt;"",OR(NOT(ISNUMBER(G41)),G41&lt;DATE(2000,1,1),G41&gt;DATE(2100,12,31))),"Conferir pagamento",IF(AND(H41&lt;&gt;"Completa",H41&lt;&gt;"Pendente"),"Conferir documentação",IF(AND(I41&lt;&gt;"Em conferência",I41&lt;&gt;"Encaminhado",I41&lt;&gt;"Pago"),"Conferir etapa","Válido")))))))))))</x:f>
      </x:c>
      <x:c r="L41" s="44" t="str">
        <x:f>IF(K41="","",IF(K41="Válido",E41,0))</x:f>
      </x:c>
      <x:c r="M41" s="57" t="str">
        <x:f>IF(K41="","",IF(K41&lt;&gt;"Válido","Conferir dados",IF(H41="Pendente","Pendente","Completa")))</x:f>
      </x:c>
    </x:row>
    <x:row r="42" ht="42" customHeight="1">
      <x:c r="A42" s="25"/>
      <x:c r="B42" s="25"/>
      <x:c r="C42" s="30"/>
      <x:c r="D42" s="48"/>
      <x:c r="E42" s="43"/>
      <x:c r="F42" s="36"/>
      <x:c r="G42" s="36"/>
      <x:c r="H42" s="56"/>
      <x:c r="I42" s="56"/>
      <x:c r="J42" s="57" t="str">
        <x:f>IF(K42="","",IF(K42&lt;&gt;"Válido","Conferir dados",IF(AND(ISNUMBER(G42),G42&gt;Auxiliar!$B$4),"Conferir data futura",IF(AND(ISNUMBER(G42),G42&lt;=Auxiliar!$B$4),"Pago",IF(F42&lt;Auxiliar!$B$4,"Em atraso","Em aberto")))))</x:f>
      </x:c>
      <x:c r="K42" s="57" t="str">
        <x:f>IF(COUNTA(A42:I42)=0,"",IF(A42="","Informe ID",IF(COUNTIFS($A$7:$A$56,A42)&lt;&gt;1,"Duplicado: pagamento",IF(COUNTIFS(Contratos!$A$7:$A$56,B42)&lt;&gt;1,"Conferir contrato",IF(C42="","Informe descrição",IF(IF(ISNUMBER(D42),OR(D42&lt;DATE(2000,1,1),D42&gt;DATE(2100,12,31),DAY(D42)&lt;&gt;1),TRUE),"Conferir competência",IF(OR(NOT(ISNUMBER(E42)),E42&lt;0),"Conferir valor",IF(OR(NOT(ISNUMBER(F42)),F42&lt;DATE(2000,1,1),F42&gt;DATE(2100,12,31)),"Conferir vencimento",IF(AND(G42&lt;&gt;"",OR(NOT(ISNUMBER(G42)),G42&lt;DATE(2000,1,1),G42&gt;DATE(2100,12,31))),"Conferir pagamento",IF(AND(H42&lt;&gt;"Completa",H42&lt;&gt;"Pendente"),"Conferir documentação",IF(AND(I42&lt;&gt;"Em conferência",I42&lt;&gt;"Encaminhado",I42&lt;&gt;"Pago"),"Conferir etapa","Válido")))))))))))</x:f>
      </x:c>
      <x:c r="L42" s="44" t="str">
        <x:f>IF(K42="","",IF(K42="Válido",E42,0))</x:f>
      </x:c>
      <x:c r="M42" s="57" t="str">
        <x:f>IF(K42="","",IF(K42&lt;&gt;"Válido","Conferir dados",IF(H42="Pendente","Pendente","Completa")))</x:f>
      </x:c>
    </x:row>
    <x:row r="43" ht="42" customHeight="1">
      <x:c r="A43" s="25"/>
      <x:c r="B43" s="25"/>
      <x:c r="C43" s="30"/>
      <x:c r="D43" s="48"/>
      <x:c r="E43" s="43"/>
      <x:c r="F43" s="36"/>
      <x:c r="G43" s="36"/>
      <x:c r="H43" s="56"/>
      <x:c r="I43" s="56"/>
      <x:c r="J43" s="57" t="str">
        <x:f>IF(K43="","",IF(K43&lt;&gt;"Válido","Conferir dados",IF(AND(ISNUMBER(G43),G43&gt;Auxiliar!$B$4),"Conferir data futura",IF(AND(ISNUMBER(G43),G43&lt;=Auxiliar!$B$4),"Pago",IF(F43&lt;Auxiliar!$B$4,"Em atraso","Em aberto")))))</x:f>
      </x:c>
      <x:c r="K43" s="57" t="str">
        <x:f>IF(COUNTA(A43:I43)=0,"",IF(A43="","Informe ID",IF(COUNTIFS($A$7:$A$56,A43)&lt;&gt;1,"Duplicado: pagamento",IF(COUNTIFS(Contratos!$A$7:$A$56,B43)&lt;&gt;1,"Conferir contrato",IF(C43="","Informe descrição",IF(IF(ISNUMBER(D43),OR(D43&lt;DATE(2000,1,1),D43&gt;DATE(2100,12,31),DAY(D43)&lt;&gt;1),TRUE),"Conferir competência",IF(OR(NOT(ISNUMBER(E43)),E43&lt;0),"Conferir valor",IF(OR(NOT(ISNUMBER(F43)),F43&lt;DATE(2000,1,1),F43&gt;DATE(2100,12,31)),"Conferir vencimento",IF(AND(G43&lt;&gt;"",OR(NOT(ISNUMBER(G43)),G43&lt;DATE(2000,1,1),G43&gt;DATE(2100,12,31))),"Conferir pagamento",IF(AND(H43&lt;&gt;"Completa",H43&lt;&gt;"Pendente"),"Conferir documentação",IF(AND(I43&lt;&gt;"Em conferência",I43&lt;&gt;"Encaminhado",I43&lt;&gt;"Pago"),"Conferir etapa","Válido")))))))))))</x:f>
      </x:c>
      <x:c r="L43" s="44" t="str">
        <x:f>IF(K43="","",IF(K43="Válido",E43,0))</x:f>
      </x:c>
      <x:c r="M43" s="57" t="str">
        <x:f>IF(K43="","",IF(K43&lt;&gt;"Válido","Conferir dados",IF(H43="Pendente","Pendente","Completa")))</x:f>
      </x:c>
    </x:row>
    <x:row r="44" ht="42" customHeight="1">
      <x:c r="A44" s="25"/>
      <x:c r="B44" s="25"/>
      <x:c r="C44" s="30"/>
      <x:c r="D44" s="48"/>
      <x:c r="E44" s="43"/>
      <x:c r="F44" s="36"/>
      <x:c r="G44" s="36"/>
      <x:c r="H44" s="56"/>
      <x:c r="I44" s="56"/>
      <x:c r="J44" s="57" t="str">
        <x:f>IF(K44="","",IF(K44&lt;&gt;"Válido","Conferir dados",IF(AND(ISNUMBER(G44),G44&gt;Auxiliar!$B$4),"Conferir data futura",IF(AND(ISNUMBER(G44),G44&lt;=Auxiliar!$B$4),"Pago",IF(F44&lt;Auxiliar!$B$4,"Em atraso","Em aberto")))))</x:f>
      </x:c>
      <x:c r="K44" s="57" t="str">
        <x:f>IF(COUNTA(A44:I44)=0,"",IF(A44="","Informe ID",IF(COUNTIFS($A$7:$A$56,A44)&lt;&gt;1,"Duplicado: pagamento",IF(COUNTIFS(Contratos!$A$7:$A$56,B44)&lt;&gt;1,"Conferir contrato",IF(C44="","Informe descrição",IF(IF(ISNUMBER(D44),OR(D44&lt;DATE(2000,1,1),D44&gt;DATE(2100,12,31),DAY(D44)&lt;&gt;1),TRUE),"Conferir competência",IF(OR(NOT(ISNUMBER(E44)),E44&lt;0),"Conferir valor",IF(OR(NOT(ISNUMBER(F44)),F44&lt;DATE(2000,1,1),F44&gt;DATE(2100,12,31)),"Conferir vencimento",IF(AND(G44&lt;&gt;"",OR(NOT(ISNUMBER(G44)),G44&lt;DATE(2000,1,1),G44&gt;DATE(2100,12,31))),"Conferir pagamento",IF(AND(H44&lt;&gt;"Completa",H44&lt;&gt;"Pendente"),"Conferir documentação",IF(AND(I44&lt;&gt;"Em conferência",I44&lt;&gt;"Encaminhado",I44&lt;&gt;"Pago"),"Conferir etapa","Válido")))))))))))</x:f>
      </x:c>
      <x:c r="L44" s="44" t="str">
        <x:f>IF(K44="","",IF(K44="Válido",E44,0))</x:f>
      </x:c>
      <x:c r="M44" s="57" t="str">
        <x:f>IF(K44="","",IF(K44&lt;&gt;"Válido","Conferir dados",IF(H44="Pendente","Pendente","Completa")))</x:f>
      </x:c>
    </x:row>
    <x:row r="45" ht="42" customHeight="1">
      <x:c r="A45" s="25"/>
      <x:c r="B45" s="25"/>
      <x:c r="C45" s="30"/>
      <x:c r="D45" s="48"/>
      <x:c r="E45" s="43"/>
      <x:c r="F45" s="36"/>
      <x:c r="G45" s="36"/>
      <x:c r="H45" s="56"/>
      <x:c r="I45" s="56"/>
      <x:c r="J45" s="57" t="str">
        <x:f>IF(K45="","",IF(K45&lt;&gt;"Válido","Conferir dados",IF(AND(ISNUMBER(G45),G45&gt;Auxiliar!$B$4),"Conferir data futura",IF(AND(ISNUMBER(G45),G45&lt;=Auxiliar!$B$4),"Pago",IF(F45&lt;Auxiliar!$B$4,"Em atraso","Em aberto")))))</x:f>
      </x:c>
      <x:c r="K45" s="57" t="str">
        <x:f>IF(COUNTA(A45:I45)=0,"",IF(A45="","Informe ID",IF(COUNTIFS($A$7:$A$56,A45)&lt;&gt;1,"Duplicado: pagamento",IF(COUNTIFS(Contratos!$A$7:$A$56,B45)&lt;&gt;1,"Conferir contrato",IF(C45="","Informe descrição",IF(IF(ISNUMBER(D45),OR(D45&lt;DATE(2000,1,1),D45&gt;DATE(2100,12,31),DAY(D45)&lt;&gt;1),TRUE),"Conferir competência",IF(OR(NOT(ISNUMBER(E45)),E45&lt;0),"Conferir valor",IF(OR(NOT(ISNUMBER(F45)),F45&lt;DATE(2000,1,1),F45&gt;DATE(2100,12,31)),"Conferir vencimento",IF(AND(G45&lt;&gt;"",OR(NOT(ISNUMBER(G45)),G45&lt;DATE(2000,1,1),G45&gt;DATE(2100,12,31))),"Conferir pagamento",IF(AND(H45&lt;&gt;"Completa",H45&lt;&gt;"Pendente"),"Conferir documentação",IF(AND(I45&lt;&gt;"Em conferência",I45&lt;&gt;"Encaminhado",I45&lt;&gt;"Pago"),"Conferir etapa","Válido")))))))))))</x:f>
      </x:c>
      <x:c r="L45" s="44" t="str">
        <x:f>IF(K45="","",IF(K45="Válido",E45,0))</x:f>
      </x:c>
      <x:c r="M45" s="57" t="str">
        <x:f>IF(K45="","",IF(K45&lt;&gt;"Válido","Conferir dados",IF(H45="Pendente","Pendente","Completa")))</x:f>
      </x:c>
    </x:row>
    <x:row r="46" ht="42" customHeight="1">
      <x:c r="A46" s="25"/>
      <x:c r="B46" s="25"/>
      <x:c r="C46" s="30"/>
      <x:c r="D46" s="48"/>
      <x:c r="E46" s="43"/>
      <x:c r="F46" s="36"/>
      <x:c r="G46" s="36"/>
      <x:c r="H46" s="56"/>
      <x:c r="I46" s="56"/>
      <x:c r="J46" s="57" t="str">
        <x:f>IF(K46="","",IF(K46&lt;&gt;"Válido","Conferir dados",IF(AND(ISNUMBER(G46),G46&gt;Auxiliar!$B$4),"Conferir data futura",IF(AND(ISNUMBER(G46),G46&lt;=Auxiliar!$B$4),"Pago",IF(F46&lt;Auxiliar!$B$4,"Em atraso","Em aberto")))))</x:f>
      </x:c>
      <x:c r="K46" s="57" t="str">
        <x:f>IF(COUNTA(A46:I46)=0,"",IF(A46="","Informe ID",IF(COUNTIFS($A$7:$A$56,A46)&lt;&gt;1,"Duplicado: pagamento",IF(COUNTIFS(Contratos!$A$7:$A$56,B46)&lt;&gt;1,"Conferir contrato",IF(C46="","Informe descrição",IF(IF(ISNUMBER(D46),OR(D46&lt;DATE(2000,1,1),D46&gt;DATE(2100,12,31),DAY(D46)&lt;&gt;1),TRUE),"Conferir competência",IF(OR(NOT(ISNUMBER(E46)),E46&lt;0),"Conferir valor",IF(OR(NOT(ISNUMBER(F46)),F46&lt;DATE(2000,1,1),F46&gt;DATE(2100,12,31)),"Conferir vencimento",IF(AND(G46&lt;&gt;"",OR(NOT(ISNUMBER(G46)),G46&lt;DATE(2000,1,1),G46&gt;DATE(2100,12,31))),"Conferir pagamento",IF(AND(H46&lt;&gt;"Completa",H46&lt;&gt;"Pendente"),"Conferir documentação",IF(AND(I46&lt;&gt;"Em conferência",I46&lt;&gt;"Encaminhado",I46&lt;&gt;"Pago"),"Conferir etapa","Válido")))))))))))</x:f>
      </x:c>
      <x:c r="L46" s="44" t="str">
        <x:f>IF(K46="","",IF(K46="Válido",E46,0))</x:f>
      </x:c>
      <x:c r="M46" s="57" t="str">
        <x:f>IF(K46="","",IF(K46&lt;&gt;"Válido","Conferir dados",IF(H46="Pendente","Pendente","Completa")))</x:f>
      </x:c>
    </x:row>
    <x:row r="47" ht="42" customHeight="1">
      <x:c r="A47" s="25"/>
      <x:c r="B47" s="25"/>
      <x:c r="C47" s="30"/>
      <x:c r="D47" s="48"/>
      <x:c r="E47" s="43"/>
      <x:c r="F47" s="36"/>
      <x:c r="G47" s="36"/>
      <x:c r="H47" s="56"/>
      <x:c r="I47" s="56"/>
      <x:c r="J47" s="57" t="str">
        <x:f>IF(K47="","",IF(K47&lt;&gt;"Válido","Conferir dados",IF(AND(ISNUMBER(G47),G47&gt;Auxiliar!$B$4),"Conferir data futura",IF(AND(ISNUMBER(G47),G47&lt;=Auxiliar!$B$4),"Pago",IF(F47&lt;Auxiliar!$B$4,"Em atraso","Em aberto")))))</x:f>
      </x:c>
      <x:c r="K47" s="57" t="str">
        <x:f>IF(COUNTA(A47:I47)=0,"",IF(A47="","Informe ID",IF(COUNTIFS($A$7:$A$56,A47)&lt;&gt;1,"Duplicado: pagamento",IF(COUNTIFS(Contratos!$A$7:$A$56,B47)&lt;&gt;1,"Conferir contrato",IF(C47="","Informe descrição",IF(IF(ISNUMBER(D47),OR(D47&lt;DATE(2000,1,1),D47&gt;DATE(2100,12,31),DAY(D47)&lt;&gt;1),TRUE),"Conferir competência",IF(OR(NOT(ISNUMBER(E47)),E47&lt;0),"Conferir valor",IF(OR(NOT(ISNUMBER(F47)),F47&lt;DATE(2000,1,1),F47&gt;DATE(2100,12,31)),"Conferir vencimento",IF(AND(G47&lt;&gt;"",OR(NOT(ISNUMBER(G47)),G47&lt;DATE(2000,1,1),G47&gt;DATE(2100,12,31))),"Conferir pagamento",IF(AND(H47&lt;&gt;"Completa",H47&lt;&gt;"Pendente"),"Conferir documentação",IF(AND(I47&lt;&gt;"Em conferência",I47&lt;&gt;"Encaminhado",I47&lt;&gt;"Pago"),"Conferir etapa","Válido")))))))))))</x:f>
      </x:c>
      <x:c r="L47" s="44" t="str">
        <x:f>IF(K47="","",IF(K47="Válido",E47,0))</x:f>
      </x:c>
      <x:c r="M47" s="57" t="str">
        <x:f>IF(K47="","",IF(K47&lt;&gt;"Válido","Conferir dados",IF(H47="Pendente","Pendente","Completa")))</x:f>
      </x:c>
    </x:row>
    <x:row r="48" ht="42" customHeight="1">
      <x:c r="A48" s="25"/>
      <x:c r="B48" s="25"/>
      <x:c r="C48" s="30"/>
      <x:c r="D48" s="48"/>
      <x:c r="E48" s="43"/>
      <x:c r="F48" s="36"/>
      <x:c r="G48" s="36"/>
      <x:c r="H48" s="56"/>
      <x:c r="I48" s="56"/>
      <x:c r="J48" s="57" t="str">
        <x:f>IF(K48="","",IF(K48&lt;&gt;"Válido","Conferir dados",IF(AND(ISNUMBER(G48),G48&gt;Auxiliar!$B$4),"Conferir data futura",IF(AND(ISNUMBER(G48),G48&lt;=Auxiliar!$B$4),"Pago",IF(F48&lt;Auxiliar!$B$4,"Em atraso","Em aberto")))))</x:f>
      </x:c>
      <x:c r="K48" s="57" t="str">
        <x:f>IF(COUNTA(A48:I48)=0,"",IF(A48="","Informe ID",IF(COUNTIFS($A$7:$A$56,A48)&lt;&gt;1,"Duplicado: pagamento",IF(COUNTIFS(Contratos!$A$7:$A$56,B48)&lt;&gt;1,"Conferir contrato",IF(C48="","Informe descrição",IF(IF(ISNUMBER(D48),OR(D48&lt;DATE(2000,1,1),D48&gt;DATE(2100,12,31),DAY(D48)&lt;&gt;1),TRUE),"Conferir competência",IF(OR(NOT(ISNUMBER(E48)),E48&lt;0),"Conferir valor",IF(OR(NOT(ISNUMBER(F48)),F48&lt;DATE(2000,1,1),F48&gt;DATE(2100,12,31)),"Conferir vencimento",IF(AND(G48&lt;&gt;"",OR(NOT(ISNUMBER(G48)),G48&lt;DATE(2000,1,1),G48&gt;DATE(2100,12,31))),"Conferir pagamento",IF(AND(H48&lt;&gt;"Completa",H48&lt;&gt;"Pendente"),"Conferir documentação",IF(AND(I48&lt;&gt;"Em conferência",I48&lt;&gt;"Encaminhado",I48&lt;&gt;"Pago"),"Conferir etapa","Válido")))))))))))</x:f>
      </x:c>
      <x:c r="L48" s="44" t="str">
        <x:f>IF(K48="","",IF(K48="Válido",E48,0))</x:f>
      </x:c>
      <x:c r="M48" s="57" t="str">
        <x:f>IF(K48="","",IF(K48&lt;&gt;"Válido","Conferir dados",IF(H48="Pendente","Pendente","Completa")))</x:f>
      </x:c>
    </x:row>
    <x:row r="49" ht="42" customHeight="1">
      <x:c r="A49" s="25"/>
      <x:c r="B49" s="25"/>
      <x:c r="C49" s="30"/>
      <x:c r="D49" s="48"/>
      <x:c r="E49" s="43"/>
      <x:c r="F49" s="36"/>
      <x:c r="G49" s="36"/>
      <x:c r="H49" s="56"/>
      <x:c r="I49" s="56"/>
      <x:c r="J49" s="57" t="str">
        <x:f>IF(K49="","",IF(K49&lt;&gt;"Válido","Conferir dados",IF(AND(ISNUMBER(G49),G49&gt;Auxiliar!$B$4),"Conferir data futura",IF(AND(ISNUMBER(G49),G49&lt;=Auxiliar!$B$4),"Pago",IF(F49&lt;Auxiliar!$B$4,"Em atraso","Em aberto")))))</x:f>
      </x:c>
      <x:c r="K49" s="57" t="str">
        <x:f>IF(COUNTA(A49:I49)=0,"",IF(A49="","Informe ID",IF(COUNTIFS($A$7:$A$56,A49)&lt;&gt;1,"Duplicado: pagamento",IF(COUNTIFS(Contratos!$A$7:$A$56,B49)&lt;&gt;1,"Conferir contrato",IF(C49="","Informe descrição",IF(IF(ISNUMBER(D49),OR(D49&lt;DATE(2000,1,1),D49&gt;DATE(2100,12,31),DAY(D49)&lt;&gt;1),TRUE),"Conferir competência",IF(OR(NOT(ISNUMBER(E49)),E49&lt;0),"Conferir valor",IF(OR(NOT(ISNUMBER(F49)),F49&lt;DATE(2000,1,1),F49&gt;DATE(2100,12,31)),"Conferir vencimento",IF(AND(G49&lt;&gt;"",OR(NOT(ISNUMBER(G49)),G49&lt;DATE(2000,1,1),G49&gt;DATE(2100,12,31))),"Conferir pagamento",IF(AND(H49&lt;&gt;"Completa",H49&lt;&gt;"Pendente"),"Conferir documentação",IF(AND(I49&lt;&gt;"Em conferência",I49&lt;&gt;"Encaminhado",I49&lt;&gt;"Pago"),"Conferir etapa","Válido")))))))))))</x:f>
      </x:c>
      <x:c r="L49" s="44" t="str">
        <x:f>IF(K49="","",IF(K49="Válido",E49,0))</x:f>
      </x:c>
      <x:c r="M49" s="57" t="str">
        <x:f>IF(K49="","",IF(K49&lt;&gt;"Válido","Conferir dados",IF(H49="Pendente","Pendente","Completa")))</x:f>
      </x:c>
    </x:row>
    <x:row r="50" ht="42" customHeight="1">
      <x:c r="A50" s="25"/>
      <x:c r="B50" s="25"/>
      <x:c r="C50" s="30"/>
      <x:c r="D50" s="48"/>
      <x:c r="E50" s="43"/>
      <x:c r="F50" s="36"/>
      <x:c r="G50" s="36"/>
      <x:c r="H50" s="56"/>
      <x:c r="I50" s="56"/>
      <x:c r="J50" s="57" t="str">
        <x:f>IF(K50="","",IF(K50&lt;&gt;"Válido","Conferir dados",IF(AND(ISNUMBER(G50),G50&gt;Auxiliar!$B$4),"Conferir data futura",IF(AND(ISNUMBER(G50),G50&lt;=Auxiliar!$B$4),"Pago",IF(F50&lt;Auxiliar!$B$4,"Em atraso","Em aberto")))))</x:f>
      </x:c>
      <x:c r="K50" s="57" t="str">
        <x:f>IF(COUNTA(A50:I50)=0,"",IF(A50="","Informe ID",IF(COUNTIFS($A$7:$A$56,A50)&lt;&gt;1,"Duplicado: pagamento",IF(COUNTIFS(Contratos!$A$7:$A$56,B50)&lt;&gt;1,"Conferir contrato",IF(C50="","Informe descrição",IF(IF(ISNUMBER(D50),OR(D50&lt;DATE(2000,1,1),D50&gt;DATE(2100,12,31),DAY(D50)&lt;&gt;1),TRUE),"Conferir competência",IF(OR(NOT(ISNUMBER(E50)),E50&lt;0),"Conferir valor",IF(OR(NOT(ISNUMBER(F50)),F50&lt;DATE(2000,1,1),F50&gt;DATE(2100,12,31)),"Conferir vencimento",IF(AND(G50&lt;&gt;"",OR(NOT(ISNUMBER(G50)),G50&lt;DATE(2000,1,1),G50&gt;DATE(2100,12,31))),"Conferir pagamento",IF(AND(H50&lt;&gt;"Completa",H50&lt;&gt;"Pendente"),"Conferir documentação",IF(AND(I50&lt;&gt;"Em conferência",I50&lt;&gt;"Encaminhado",I50&lt;&gt;"Pago"),"Conferir etapa","Válido")))))))))))</x:f>
      </x:c>
      <x:c r="L50" s="44" t="str">
        <x:f>IF(K50="","",IF(K50="Válido",E50,0))</x:f>
      </x:c>
      <x:c r="M50" s="57" t="str">
        <x:f>IF(K50="","",IF(K50&lt;&gt;"Válido","Conferir dados",IF(H50="Pendente","Pendente","Completa")))</x:f>
      </x:c>
    </x:row>
    <x:row r="51" ht="42" customHeight="1">
      <x:c r="A51" s="25"/>
      <x:c r="B51" s="25"/>
      <x:c r="C51" s="30"/>
      <x:c r="D51" s="48"/>
      <x:c r="E51" s="43"/>
      <x:c r="F51" s="36"/>
      <x:c r="G51" s="36"/>
      <x:c r="H51" s="56"/>
      <x:c r="I51" s="56"/>
      <x:c r="J51" s="57" t="str">
        <x:f>IF(K51="","",IF(K51&lt;&gt;"Válido","Conferir dados",IF(AND(ISNUMBER(G51),G51&gt;Auxiliar!$B$4),"Conferir data futura",IF(AND(ISNUMBER(G51),G51&lt;=Auxiliar!$B$4),"Pago",IF(F51&lt;Auxiliar!$B$4,"Em atraso","Em aberto")))))</x:f>
      </x:c>
      <x:c r="K51" s="57" t="str">
        <x:f>IF(COUNTA(A51:I51)=0,"",IF(A51="","Informe ID",IF(COUNTIFS($A$7:$A$56,A51)&lt;&gt;1,"Duplicado: pagamento",IF(COUNTIFS(Contratos!$A$7:$A$56,B51)&lt;&gt;1,"Conferir contrato",IF(C51="","Informe descrição",IF(IF(ISNUMBER(D51),OR(D51&lt;DATE(2000,1,1),D51&gt;DATE(2100,12,31),DAY(D51)&lt;&gt;1),TRUE),"Conferir competência",IF(OR(NOT(ISNUMBER(E51)),E51&lt;0),"Conferir valor",IF(OR(NOT(ISNUMBER(F51)),F51&lt;DATE(2000,1,1),F51&gt;DATE(2100,12,31)),"Conferir vencimento",IF(AND(G51&lt;&gt;"",OR(NOT(ISNUMBER(G51)),G51&lt;DATE(2000,1,1),G51&gt;DATE(2100,12,31))),"Conferir pagamento",IF(AND(H51&lt;&gt;"Completa",H51&lt;&gt;"Pendente"),"Conferir documentação",IF(AND(I51&lt;&gt;"Em conferência",I51&lt;&gt;"Encaminhado",I51&lt;&gt;"Pago"),"Conferir etapa","Válido")))))))))))</x:f>
      </x:c>
      <x:c r="L51" s="44" t="str">
        <x:f>IF(K51="","",IF(K51="Válido",E51,0))</x:f>
      </x:c>
      <x:c r="M51" s="57" t="str">
        <x:f>IF(K51="","",IF(K51&lt;&gt;"Válido","Conferir dados",IF(H51="Pendente","Pendente","Completa")))</x:f>
      </x:c>
    </x:row>
    <x:row r="52" ht="42" customHeight="1">
      <x:c r="A52" s="25"/>
      <x:c r="B52" s="25"/>
      <x:c r="C52" s="30"/>
      <x:c r="D52" s="48"/>
      <x:c r="E52" s="43"/>
      <x:c r="F52" s="36"/>
      <x:c r="G52" s="36"/>
      <x:c r="H52" s="56"/>
      <x:c r="I52" s="56"/>
      <x:c r="J52" s="57" t="str">
        <x:f>IF(K52="","",IF(K52&lt;&gt;"Válido","Conferir dados",IF(AND(ISNUMBER(G52),G52&gt;Auxiliar!$B$4),"Conferir data futura",IF(AND(ISNUMBER(G52),G52&lt;=Auxiliar!$B$4),"Pago",IF(F52&lt;Auxiliar!$B$4,"Em atraso","Em aberto")))))</x:f>
      </x:c>
      <x:c r="K52" s="57" t="str">
        <x:f>IF(COUNTA(A52:I52)=0,"",IF(A52="","Informe ID",IF(COUNTIFS($A$7:$A$56,A52)&lt;&gt;1,"Duplicado: pagamento",IF(COUNTIFS(Contratos!$A$7:$A$56,B52)&lt;&gt;1,"Conferir contrato",IF(C52="","Informe descrição",IF(IF(ISNUMBER(D52),OR(D52&lt;DATE(2000,1,1),D52&gt;DATE(2100,12,31),DAY(D52)&lt;&gt;1),TRUE),"Conferir competência",IF(OR(NOT(ISNUMBER(E52)),E52&lt;0),"Conferir valor",IF(OR(NOT(ISNUMBER(F52)),F52&lt;DATE(2000,1,1),F52&gt;DATE(2100,12,31)),"Conferir vencimento",IF(AND(G52&lt;&gt;"",OR(NOT(ISNUMBER(G52)),G52&lt;DATE(2000,1,1),G52&gt;DATE(2100,12,31))),"Conferir pagamento",IF(AND(H52&lt;&gt;"Completa",H52&lt;&gt;"Pendente"),"Conferir documentação",IF(AND(I52&lt;&gt;"Em conferência",I52&lt;&gt;"Encaminhado",I52&lt;&gt;"Pago"),"Conferir etapa","Válido")))))))))))</x:f>
      </x:c>
      <x:c r="L52" s="44" t="str">
        <x:f>IF(K52="","",IF(K52="Válido",E52,0))</x:f>
      </x:c>
      <x:c r="M52" s="57" t="str">
        <x:f>IF(K52="","",IF(K52&lt;&gt;"Válido","Conferir dados",IF(H52="Pendente","Pendente","Completa")))</x:f>
      </x:c>
    </x:row>
    <x:row r="53" ht="42" customHeight="1">
      <x:c r="A53" s="25"/>
      <x:c r="B53" s="25"/>
      <x:c r="C53" s="30"/>
      <x:c r="D53" s="48"/>
      <x:c r="E53" s="43"/>
      <x:c r="F53" s="36"/>
      <x:c r="G53" s="36"/>
      <x:c r="H53" s="56"/>
      <x:c r="I53" s="56"/>
      <x:c r="J53" s="57" t="str">
        <x:f>IF(K53="","",IF(K53&lt;&gt;"Válido","Conferir dados",IF(AND(ISNUMBER(G53),G53&gt;Auxiliar!$B$4),"Conferir data futura",IF(AND(ISNUMBER(G53),G53&lt;=Auxiliar!$B$4),"Pago",IF(F53&lt;Auxiliar!$B$4,"Em atraso","Em aberto")))))</x:f>
      </x:c>
      <x:c r="K53" s="57" t="str">
        <x:f>IF(COUNTA(A53:I53)=0,"",IF(A53="","Informe ID",IF(COUNTIFS($A$7:$A$56,A53)&lt;&gt;1,"Duplicado: pagamento",IF(COUNTIFS(Contratos!$A$7:$A$56,B53)&lt;&gt;1,"Conferir contrato",IF(C53="","Informe descrição",IF(IF(ISNUMBER(D53),OR(D53&lt;DATE(2000,1,1),D53&gt;DATE(2100,12,31),DAY(D53)&lt;&gt;1),TRUE),"Conferir competência",IF(OR(NOT(ISNUMBER(E53)),E53&lt;0),"Conferir valor",IF(OR(NOT(ISNUMBER(F53)),F53&lt;DATE(2000,1,1),F53&gt;DATE(2100,12,31)),"Conferir vencimento",IF(AND(G53&lt;&gt;"",OR(NOT(ISNUMBER(G53)),G53&lt;DATE(2000,1,1),G53&gt;DATE(2100,12,31))),"Conferir pagamento",IF(AND(H53&lt;&gt;"Completa",H53&lt;&gt;"Pendente"),"Conferir documentação",IF(AND(I53&lt;&gt;"Em conferência",I53&lt;&gt;"Encaminhado",I53&lt;&gt;"Pago"),"Conferir etapa","Válido")))))))))))</x:f>
      </x:c>
      <x:c r="L53" s="44" t="str">
        <x:f>IF(K53="","",IF(K53="Válido",E53,0))</x:f>
      </x:c>
      <x:c r="M53" s="57" t="str">
        <x:f>IF(K53="","",IF(K53&lt;&gt;"Válido","Conferir dados",IF(H53="Pendente","Pendente","Completa")))</x:f>
      </x:c>
    </x:row>
    <x:row r="54" ht="42" customHeight="1">
      <x:c r="A54" s="25"/>
      <x:c r="B54" s="25"/>
      <x:c r="C54" s="30"/>
      <x:c r="D54" s="48"/>
      <x:c r="E54" s="43"/>
      <x:c r="F54" s="36"/>
      <x:c r="G54" s="36"/>
      <x:c r="H54" s="56"/>
      <x:c r="I54" s="56"/>
      <x:c r="J54" s="57" t="str">
        <x:f>IF(K54="","",IF(K54&lt;&gt;"Válido","Conferir dados",IF(AND(ISNUMBER(G54),G54&gt;Auxiliar!$B$4),"Conferir data futura",IF(AND(ISNUMBER(G54),G54&lt;=Auxiliar!$B$4),"Pago",IF(F54&lt;Auxiliar!$B$4,"Em atraso","Em aberto")))))</x:f>
      </x:c>
      <x:c r="K54" s="57" t="str">
        <x:f>IF(COUNTA(A54:I54)=0,"",IF(A54="","Informe ID",IF(COUNTIFS($A$7:$A$56,A54)&lt;&gt;1,"Duplicado: pagamento",IF(COUNTIFS(Contratos!$A$7:$A$56,B54)&lt;&gt;1,"Conferir contrato",IF(C54="","Informe descrição",IF(IF(ISNUMBER(D54),OR(D54&lt;DATE(2000,1,1),D54&gt;DATE(2100,12,31),DAY(D54)&lt;&gt;1),TRUE),"Conferir competência",IF(OR(NOT(ISNUMBER(E54)),E54&lt;0),"Conferir valor",IF(OR(NOT(ISNUMBER(F54)),F54&lt;DATE(2000,1,1),F54&gt;DATE(2100,12,31)),"Conferir vencimento",IF(AND(G54&lt;&gt;"",OR(NOT(ISNUMBER(G54)),G54&lt;DATE(2000,1,1),G54&gt;DATE(2100,12,31))),"Conferir pagamento",IF(AND(H54&lt;&gt;"Completa",H54&lt;&gt;"Pendente"),"Conferir documentação",IF(AND(I54&lt;&gt;"Em conferência",I54&lt;&gt;"Encaminhado",I54&lt;&gt;"Pago"),"Conferir etapa","Válido")))))))))))</x:f>
      </x:c>
      <x:c r="L54" s="44" t="str">
        <x:f>IF(K54="","",IF(K54="Válido",E54,0))</x:f>
      </x:c>
      <x:c r="M54" s="57" t="str">
        <x:f>IF(K54="","",IF(K54&lt;&gt;"Válido","Conferir dados",IF(H54="Pendente","Pendente","Completa")))</x:f>
      </x:c>
    </x:row>
    <x:row r="55" ht="42" customHeight="1">
      <x:c r="A55" s="25"/>
      <x:c r="B55" s="25"/>
      <x:c r="C55" s="30"/>
      <x:c r="D55" s="48"/>
      <x:c r="E55" s="43"/>
      <x:c r="F55" s="36"/>
      <x:c r="G55" s="36"/>
      <x:c r="H55" s="56"/>
      <x:c r="I55" s="56"/>
      <x:c r="J55" s="57" t="str">
        <x:f>IF(K55="","",IF(K55&lt;&gt;"Válido","Conferir dados",IF(AND(ISNUMBER(G55),G55&gt;Auxiliar!$B$4),"Conferir data futura",IF(AND(ISNUMBER(G55),G55&lt;=Auxiliar!$B$4),"Pago",IF(F55&lt;Auxiliar!$B$4,"Em atraso","Em aberto")))))</x:f>
      </x:c>
      <x:c r="K55" s="57" t="str">
        <x:f>IF(COUNTA(A55:I55)=0,"",IF(A55="","Informe ID",IF(COUNTIFS($A$7:$A$56,A55)&lt;&gt;1,"Duplicado: pagamento",IF(COUNTIFS(Contratos!$A$7:$A$56,B55)&lt;&gt;1,"Conferir contrato",IF(C55="","Informe descrição",IF(IF(ISNUMBER(D55),OR(D55&lt;DATE(2000,1,1),D55&gt;DATE(2100,12,31),DAY(D55)&lt;&gt;1),TRUE),"Conferir competência",IF(OR(NOT(ISNUMBER(E55)),E55&lt;0),"Conferir valor",IF(OR(NOT(ISNUMBER(F55)),F55&lt;DATE(2000,1,1),F55&gt;DATE(2100,12,31)),"Conferir vencimento",IF(AND(G55&lt;&gt;"",OR(NOT(ISNUMBER(G55)),G55&lt;DATE(2000,1,1),G55&gt;DATE(2100,12,31))),"Conferir pagamento",IF(AND(H55&lt;&gt;"Completa",H55&lt;&gt;"Pendente"),"Conferir documentação",IF(AND(I55&lt;&gt;"Em conferência",I55&lt;&gt;"Encaminhado",I55&lt;&gt;"Pago"),"Conferir etapa","Válido")))))))))))</x:f>
      </x:c>
      <x:c r="L55" s="44" t="str">
        <x:f>IF(K55="","",IF(K55="Válido",E55,0))</x:f>
      </x:c>
      <x:c r="M55" s="57" t="str">
        <x:f>IF(K55="","",IF(K55&lt;&gt;"Válido","Conferir dados",IF(H55="Pendente","Pendente","Completa")))</x:f>
      </x:c>
    </x:row>
    <x:row r="56" ht="42" customHeight="1">
      <x:c r="A56" s="27"/>
      <x:c r="B56" s="27"/>
      <x:c r="C56" s="31"/>
      <x:c r="D56" s="49"/>
      <x:c r="E56" s="45"/>
      <x:c r="F56" s="37"/>
      <x:c r="G56" s="37"/>
      <x:c r="H56" s="58"/>
      <x:c r="I56" s="58"/>
      <x:c r="J56" s="59" t="str">
        <x:f>IF(K56="","",IF(K56&lt;&gt;"Válido","Conferir dados",IF(AND(ISNUMBER(G56),G56&gt;Auxiliar!$B$4),"Conferir data futura",IF(AND(ISNUMBER(G56),G56&lt;=Auxiliar!$B$4),"Pago",IF(F56&lt;Auxiliar!$B$4,"Em atraso","Em aberto")))))</x:f>
      </x:c>
      <x:c r="K56" s="59" t="str">
        <x:f>IF(COUNTA(A56:I56)=0,"",IF(A56="","Informe ID",IF(COUNTIFS($A$7:$A$56,A56)&lt;&gt;1,"Duplicado: pagamento",IF(COUNTIFS(Contratos!$A$7:$A$56,B56)&lt;&gt;1,"Conferir contrato",IF(C56="","Informe descrição",IF(IF(ISNUMBER(D56),OR(D56&lt;DATE(2000,1,1),D56&gt;DATE(2100,12,31),DAY(D56)&lt;&gt;1),TRUE),"Conferir competência",IF(OR(NOT(ISNUMBER(E56)),E56&lt;0),"Conferir valor",IF(OR(NOT(ISNUMBER(F56)),F56&lt;DATE(2000,1,1),F56&gt;DATE(2100,12,31)),"Conferir vencimento",IF(AND(G56&lt;&gt;"",OR(NOT(ISNUMBER(G56)),G56&lt;DATE(2000,1,1),G56&gt;DATE(2100,12,31))),"Conferir pagamento",IF(AND(H56&lt;&gt;"Completa",H56&lt;&gt;"Pendente"),"Conferir documentação",IF(AND(I56&lt;&gt;"Em conferência",I56&lt;&gt;"Encaminhado",I56&lt;&gt;"Pago"),"Conferir etapa","Válido")))))))))))</x:f>
      </x:c>
      <x:c r="L56" s="46" t="str">
        <x:f>IF(K56="","",IF(K56="Válido",E56,0))</x:f>
      </x:c>
      <x:c r="M56" s="59" t="str">
        <x:f>IF(K56="","",IF(K56&lt;&gt;"Válido","Conferir dados",IF(H56="Pendente","Pendente","Completa")))</x:f>
      </x:c>
    </x:row>
    <x:row r="57" ht="25" customHeight="1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</x:row>
    <x:row r="58" ht="25" customHeight="1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</x:row>
  </x:sheetData>
  <x:conditionalFormatting sqref="J7:K56">
    <x:cfRule type="containsText" dxfId="5" priority="1" operator="containsText" text="Conferir"/>
    <x:cfRule type="containsText" dxfId="6" priority="2" operator="containsText" text="Informe"/>
    <x:cfRule type="containsText" dxfId="7" priority="3" operator="containsText" text="Duplicado"/>
    <x:cfRule type="containsText" dxfId="8" priority="4" operator="containsText" text="Em atraso"/>
  </x:conditionalFormatting>
  <x:dataValidations count="6">
    <x:dataValidation type="date" operator="between" sqref="D7:D56">
      <x:formula1>36526</x:formula1>
      <x:formula2>73415</x:formula2>
    </x:dataValidation>
    <x:dataValidation type="date" operator="between" sqref="F7:G56">
      <x:formula1>36526</x:formula1>
      <x:formula2>73415</x:formula2>
    </x:dataValidation>
    <x:dataValidation type="decimal" operator="between" sqref="E7:E56">
      <x:formula1>0</x:formula1>
      <x:formula2>100000000</x:formula2>
    </x:dataValidation>
    <x:dataValidation type="list" sqref="B7:B56">
      <x:formula1>Contratos!$A$7:$A$56</x:formula1>
    </x:dataValidation>
    <x:dataValidation type="list" sqref="H7:H56">
      <x:formula1>"Completa,Pendente"</x:formula1>
    </x:dataValidation>
    <x:dataValidation type="list" sqref="I7:I56">
      <x:formula1>"Em conferência,Encaminhado,Pago"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46ffe5edc874001"/>
  </x:tableParts>
</x:worksheet>
</file>

<file path=xl/worksheets/sheet4.xml><?xml version="1.0" encoding="utf-8"?>
<x:worksheet xmlns:x="http://schemas.openxmlformats.org/spreadsheetml/2006/main">
  <x:sheetPr>
    <x:tabColor rgb="FF9BAF9A"/>
  </x:sheetPr>
  <x:sheetViews>
    <x:sheetView showGridLines="0" workbookViewId="0"/>
  </x:sheetViews>
  <x:sheetFormatPr defaultRowHeight="15"/>
  <x:cols>
    <x:col min="1" max="1" width="29" hidden="0" customWidth="1"/>
    <x:col min="2" max="2" width="32" hidden="0" customWidth="1"/>
    <x:col min="3" max="3" width="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</x:cols>
  <x:sheetData>
    <x:row r="1" ht="12" customHeight="1">
      <x:c r="A1" s="3"/>
      <x:c r="B1" s="3"/>
      <x:c r="C1" s="3"/>
      <x:c r="D1" s="3"/>
      <x:c r="E1" s="3"/>
      <x:c r="F1" s="3"/>
      <x:c r="G1" s="3"/>
      <x:c r="H1" s="3"/>
    </x:row>
    <x:row r="2" ht="32" customHeight="1">
      <x:c r="A2" s="4" t="str">
        <x:v>Configurações e cadastros</x:v>
      </x:c>
      <x:c r="B2" s="3"/>
      <x:c r="C2" s="3"/>
      <x:c r="D2" s="3"/>
      <x:c r="E2" s="3"/>
      <x:c r="F2" s="3"/>
      <x:c r="G2" s="3"/>
      <x:c r="H2" s="3"/>
    </x:row>
    <x:row r="3" ht="25" customHeight="1">
      <x:c r="A3" s="5"/>
      <x:c r="B3" s="5"/>
      <x:c r="C3" s="5"/>
      <x:c r="D3" s="5"/>
      <x:c r="E3" s="5"/>
      <x:c r="F3" s="5"/>
      <x:c r="G3" s="5"/>
      <x:c r="H3" s="5"/>
    </x:row>
    <x:row r="4" ht="25" customHeight="1">
      <x:c r="A4" s="3" t="str">
        <x:v>Data de referência</x:v>
      </x:c>
      <x:c r="B4" s="8" t="n">
        <x:v>46282</x:v>
      </x:c>
      <x:c r="C4" s="3"/>
      <x:c r="D4" s="3" t="str">
        <x:v>Edite as células amarelas.</x:v>
      </x:c>
      <x:c r="E4" s="3"/>
      <x:c r="F4" s="3"/>
      <x:c r="G4" s="3"/>
      <x:c r="H4" s="3"/>
    </x:row>
    <x:row r="5" ht="25" customHeight="1">
      <x:c r="A5" s="3" t="str">
        <x:v>Mês do painel</x:v>
      </x:c>
      <x:c r="B5" s="9" t="n">
        <x:v>46266</x:v>
      </x:c>
      <x:c r="C5" s="3"/>
      <x:c r="D5" s="3" t="str">
        <x:v>Cálculos aparecem em verde-claro.</x:v>
      </x:c>
      <x:c r="E5" s="3"/>
      <x:c r="F5" s="3"/>
      <x:c r="G5" s="3"/>
      <x:c r="H5" s="3"/>
    </x:row>
    <x:row r="6" ht="25" customHeight="1">
      <x:c r="A6" s="3"/>
      <x:c r="B6" s="3"/>
      <x:c r="C6" s="3"/>
      <x:c r="D6" s="3"/>
      <x:c r="E6" s="3"/>
      <x:c r="F6" s="3"/>
      <x:c r="G6" s="3"/>
      <x:c r="H6" s="3"/>
    </x:row>
    <x:row r="7" ht="25" customHeight="1">
      <x:c r="A7" s="3"/>
      <x:c r="B7" s="3"/>
      <x:c r="C7" s="3"/>
      <x:c r="D7" s="3"/>
      <x:c r="E7" s="3"/>
      <x:c r="F7" s="3"/>
      <x:c r="G7" s="3"/>
      <x:c r="H7" s="3"/>
    </x:row>
    <x:row r="8" ht="46" customHeight="1">
      <x:c r="A8" s="3" t="str">
        <x:v>Alerta de vencimento (dias)</x:v>
      </x:c>
      <x:c r="B8" s="6" t="n">
        <x:v>30</x:v>
      </x:c>
      <x:c r="C8" s="3"/>
      <x:c r="D8" s="18" t="str">
        <x:v>Situação contratual</x:v>
      </x:c>
      <x:c r="E8" s="19" t="str">
        <x:v>Documentação</x:v>
      </x:c>
      <x:c r="F8" s="20" t="str">
        <x:v>Etapa administrativa</x:v>
      </x:c>
      <x:c r="G8" s="3"/>
      <x:c r="H8" s="3"/>
    </x:row>
    <x:row r="9" ht="25" customHeight="1">
      <x:c r="A9" s="3"/>
      <x:c r="B9" s="3"/>
      <x:c r="C9" s="3"/>
      <x:c r="D9" s="3" t="str">
        <x:v>Ativo</x:v>
      </x:c>
      <x:c r="E9" s="3" t="str">
        <x:v>Completa</x:v>
      </x:c>
      <x:c r="F9" s="3" t="str">
        <x:v>Em conferência</x:v>
      </x:c>
      <x:c r="G9" s="3"/>
      <x:c r="H9" s="3"/>
    </x:row>
    <x:row r="10" ht="25" customHeight="1">
      <x:c r="A10" s="3"/>
      <x:c r="B10" s="3"/>
      <x:c r="C10" s="3"/>
      <x:c r="D10" s="3" t="str">
        <x:v>Suspenso</x:v>
      </x:c>
      <x:c r="E10" s="3" t="str">
        <x:v>Pendente</x:v>
      </x:c>
      <x:c r="F10" s="3" t="str">
        <x:v>Encaminhado</x:v>
      </x:c>
      <x:c r="G10" s="3"/>
      <x:c r="H10" s="3"/>
    </x:row>
    <x:row r="11" ht="25" customHeight="1">
      <x:c r="A11" s="21" t="str">
        <x:v>Os IDs são cadastrados na aba Contratos.</x:v>
      </x:c>
      <x:c r="B11" s="3"/>
      <x:c r="C11" s="3"/>
      <x:c r="D11" s="3" t="str">
        <x:v>Encerrado</x:v>
      </x:c>
      <x:c r="E11" s="3"/>
      <x:c r="F11" s="3" t="str">
        <x:v>Pago</x:v>
      </x:c>
      <x:c r="G11" s="3"/>
      <x:c r="H11" s="3"/>
    </x:row>
    <x:row r="12" ht="25" customHeight="1">
      <x:c r="A12" s="3"/>
      <x:c r="B12" s="3"/>
      <x:c r="C12" s="3"/>
      <x:c r="D12" s="3"/>
      <x:c r="E12" s="3"/>
      <x:c r="F12" s="3"/>
      <x:c r="G12" s="3"/>
      <x:c r="H12" s="3"/>
    </x:row>
    <x:row r="13" ht="25" customHeight="1">
      <x:c r="A13" s="3"/>
      <x:c r="B13" s="3"/>
      <x:c r="C13" s="3"/>
      <x:c r="D13" s="3"/>
      <x:c r="E13" s="3"/>
      <x:c r="F13" s="3"/>
      <x:c r="G13" s="3"/>
      <x:c r="H13" s="3"/>
    </x:row>
    <x:row r="14" ht="25" customHeight="1">
      <x:c r="A14" s="3"/>
      <x:c r="B14" s="3"/>
      <x:c r="C14" s="3"/>
      <x:c r="D14" s="3"/>
      <x:c r="E14" s="3"/>
      <x:c r="F14" s="3"/>
      <x:c r="G14" s="3"/>
      <x:c r="H14" s="3"/>
    </x:row>
    <x:row r="15" ht="25" customHeight="1">
      <x:c r="A15" s="3"/>
      <x:c r="B15" s="3"/>
      <x:c r="C15" s="3"/>
      <x:c r="D15" s="3"/>
      <x:c r="E15" s="3"/>
      <x:c r="F15" s="3"/>
      <x:c r="G15" s="3"/>
      <x:c r="H15" s="3"/>
    </x:row>
    <x:row r="16" ht="25" customHeight="1">
      <x:c r="A16" s="3"/>
      <x:c r="B16" s="3"/>
      <x:c r="C16" s="3"/>
      <x:c r="D16" s="3"/>
      <x:c r="E16" s="3"/>
      <x:c r="F16" s="3"/>
      <x:c r="G16" s="3"/>
      <x:c r="H16" s="3"/>
    </x:row>
    <x:row r="17" ht="25" customHeight="1">
      <x:c r="A17" s="3"/>
      <x:c r="B17" s="3"/>
      <x:c r="C17" s="3"/>
      <x:c r="D17" s="3"/>
      <x:c r="E17" s="3"/>
      <x:c r="F17" s="3"/>
      <x:c r="G17" s="3"/>
      <x:c r="H17" s="3"/>
    </x:row>
    <x:row r="18" ht="25" customHeight="1">
      <x:c r="A18" s="3"/>
      <x:c r="B18" s="3"/>
      <x:c r="C18" s="3"/>
      <x:c r="D18" s="3"/>
      <x:c r="E18" s="3"/>
      <x:c r="F18" s="3"/>
      <x:c r="G18" s="3"/>
      <x:c r="H18" s="3"/>
    </x:row>
    <x:row r="19" ht="25" customHeight="1">
      <x:c r="A19" s="3"/>
      <x:c r="B19" s="3"/>
      <x:c r="C19" s="3"/>
      <x:c r="D19" s="3"/>
      <x:c r="E19" s="3"/>
      <x:c r="F19" s="3"/>
      <x:c r="G19" s="3"/>
      <x:c r="H19" s="3"/>
    </x:row>
    <x:row r="20" ht="25" customHeight="1">
      <x:c r="A20" s="3"/>
      <x:c r="B20" s="3"/>
      <x:c r="C20" s="3"/>
      <x:c r="D20" s="3"/>
      <x:c r="E20" s="3"/>
      <x:c r="F20" s="3"/>
      <x:c r="G20" s="3"/>
      <x:c r="H20" s="3"/>
    </x:row>
    <x:row r="21" ht="25" customHeight="1">
      <x:c r="A21" s="3"/>
      <x:c r="B21" s="3"/>
      <x:c r="C21" s="3"/>
      <x:c r="D21" s="3"/>
      <x:c r="E21" s="3"/>
      <x:c r="F21" s="3"/>
      <x:c r="G21" s="3"/>
      <x:c r="H21" s="3"/>
    </x:row>
    <x:row r="22" ht="25" customHeight="1">
      <x:c r="A22" s="3"/>
      <x:c r="B22" s="3"/>
      <x:c r="C22" s="3"/>
      <x:c r="D22" s="3"/>
      <x:c r="E22" s="3"/>
      <x:c r="F22" s="3"/>
      <x:c r="G22" s="3"/>
      <x:c r="H22" s="3"/>
    </x:row>
    <x:row r="23" ht="25" customHeight="1">
      <x:c r="A23" s="3"/>
      <x:c r="B23" s="3"/>
      <x:c r="C23" s="3"/>
      <x:c r="D23" s="3"/>
      <x:c r="E23" s="3"/>
      <x:c r="F23" s="3"/>
      <x:c r="G23" s="3"/>
      <x:c r="H23" s="3"/>
    </x:row>
    <x:row r="24" ht="25" customHeight="1">
      <x:c r="A24" s="3"/>
      <x:c r="B24" s="3"/>
      <x:c r="C24" s="3"/>
      <x:c r="D24" s="3"/>
      <x:c r="E24" s="3"/>
      <x:c r="F24" s="3"/>
      <x:c r="G24" s="3"/>
      <x:c r="H24" s="3"/>
    </x:row>
    <x:row r="25" ht="25" customHeight="1">
      <x:c r="A25" s="3"/>
      <x:c r="B25" s="3"/>
      <x:c r="C25" s="3"/>
      <x:c r="D25" s="3"/>
      <x:c r="E25" s="3"/>
      <x:c r="F25" s="3"/>
      <x:c r="G25" s="3"/>
      <x:c r="H25" s="3"/>
    </x:row>
    <x:row r="26" ht="25" customHeight="1">
      <x:c r="A26" s="3"/>
      <x:c r="B26" s="3"/>
      <x:c r="C26" s="3"/>
      <x:c r="D26" s="3"/>
      <x:c r="E26" s="3"/>
      <x:c r="F26" s="3"/>
      <x:c r="G26" s="3"/>
      <x:c r="H26" s="3"/>
    </x:row>
    <x:row r="27" ht="25" customHeight="1">
      <x:c r="A27" s="3"/>
      <x:c r="B27" s="3"/>
      <x:c r="C27" s="3"/>
      <x:c r="D27" s="3"/>
      <x:c r="E27" s="3"/>
      <x:c r="F27" s="3"/>
      <x:c r="G27" s="3"/>
      <x:c r="H27" s="3"/>
    </x:row>
    <x:row r="28" ht="25" customHeight="1">
      <x:c r="A28" s="3"/>
      <x:c r="B28" s="3"/>
      <x:c r="C28" s="3"/>
      <x:c r="D28" s="3"/>
      <x:c r="E28" s="3"/>
      <x:c r="F28" s="3"/>
      <x:c r="G28" s="3"/>
      <x:c r="H28" s="3"/>
    </x:row>
    <x:row r="29" ht="25" customHeight="1">
      <x:c r="A29" s="3"/>
      <x:c r="B29" s="3"/>
      <x:c r="C29" s="3"/>
      <x:c r="D29" s="3"/>
      <x:c r="E29" s="3"/>
      <x:c r="F29" s="3"/>
      <x:c r="G29" s="3"/>
      <x:c r="H29" s="3"/>
    </x:row>
    <x:row r="30" ht="25" customHeight="1">
      <x:c r="A30" s="3"/>
      <x:c r="B30" s="3"/>
      <x:c r="C30" s="3"/>
      <x:c r="D30" s="3"/>
      <x:c r="E30" s="3"/>
      <x:c r="F30" s="3"/>
      <x:c r="G30" s="3"/>
      <x:c r="H30" s="3"/>
    </x:row>
    <x:row r="31" ht="25" customHeight="1">
      <x:c r="A31" s="3"/>
      <x:c r="B31" s="3"/>
      <x:c r="C31" s="3"/>
      <x:c r="D31" s="3"/>
      <x:c r="E31" s="3"/>
      <x:c r="F31" s="3"/>
      <x:c r="G31" s="3"/>
      <x:c r="H31" s="3"/>
    </x:row>
    <x:row r="32" ht="25" customHeight="1">
      <x:c r="A32" s="3"/>
      <x:c r="B32" s="3"/>
      <x:c r="C32" s="3"/>
      <x:c r="D32" s="3"/>
      <x:c r="E32" s="3"/>
      <x:c r="F32" s="3"/>
      <x:c r="G32" s="3"/>
      <x:c r="H32" s="3"/>
    </x:row>
    <x:row r="33" ht="25" customHeight="1">
      <x:c r="A33" s="3"/>
      <x:c r="B33" s="3"/>
      <x:c r="C33" s="3"/>
      <x:c r="D33" s="3"/>
      <x:c r="E33" s="3"/>
      <x:c r="F33" s="3"/>
      <x:c r="G33" s="3"/>
      <x:c r="H33" s="3"/>
    </x:row>
    <x:row r="34" ht="25" customHeight="1">
      <x:c r="A34" s="3"/>
      <x:c r="B34" s="3"/>
      <x:c r="C34" s="3"/>
      <x:c r="D34" s="3"/>
      <x:c r="E34" s="3"/>
      <x:c r="F34" s="3"/>
      <x:c r="G34" s="3"/>
      <x:c r="H34" s="3"/>
    </x:row>
    <x:row r="35" ht="25" customHeight="1">
      <x:c r="A35" s="3"/>
      <x:c r="B35" s="3"/>
      <x:c r="C35" s="3"/>
      <x:c r="D35" s="3"/>
      <x:c r="E35" s="3"/>
      <x:c r="F35" s="3"/>
      <x:c r="G35" s="3"/>
      <x:c r="H35" s="3"/>
    </x:row>
    <x:row r="36" ht="25" customHeight="1">
      <x:c r="A36" s="3"/>
      <x:c r="B36" s="3"/>
      <x:c r="C36" s="3"/>
      <x:c r="D36" s="3"/>
      <x:c r="E36" s="3"/>
      <x:c r="F36" s="3"/>
      <x:c r="G36" s="3"/>
      <x:c r="H36" s="3"/>
    </x:row>
    <x:row r="37" ht="25" customHeight="1">
      <x:c r="A37" s="3"/>
      <x:c r="B37" s="3"/>
      <x:c r="C37" s="3"/>
      <x:c r="D37" s="3"/>
      <x:c r="E37" s="3"/>
      <x:c r="F37" s="3"/>
      <x:c r="G37" s="3"/>
      <x:c r="H37" s="3"/>
    </x:row>
    <x:row r="38" ht="25" customHeight="1">
      <x:c r="A38" s="3"/>
      <x:c r="B38" s="3"/>
      <x:c r="C38" s="3"/>
      <x:c r="D38" s="3"/>
      <x:c r="E38" s="3"/>
      <x:c r="F38" s="3"/>
      <x:c r="G38" s="3"/>
      <x:c r="H38" s="3"/>
    </x:row>
    <x:row r="39" ht="25" customHeight="1">
      <x:c r="A39" s="3"/>
      <x:c r="B39" s="3"/>
      <x:c r="C39" s="3"/>
      <x:c r="D39" s="3"/>
      <x:c r="E39" s="3"/>
      <x:c r="F39" s="3"/>
      <x:c r="G39" s="3"/>
      <x:c r="H39" s="3"/>
    </x:row>
    <x:row r="40" ht="25" customHeight="1">
      <x:c r="A40" s="3"/>
      <x:c r="B40" s="3"/>
      <x:c r="C40" s="3"/>
      <x:c r="D40" s="3"/>
      <x:c r="E40" s="3"/>
      <x:c r="F40" s="3"/>
      <x:c r="G40" s="3"/>
      <x:c r="H40" s="3"/>
    </x:row>
    <x:row r="41" ht="25" customHeight="1">
      <x:c r="A41" s="3"/>
      <x:c r="B41" s="3"/>
      <x:c r="C41" s="3"/>
      <x:c r="D41" s="3"/>
      <x:c r="E41" s="3"/>
      <x:c r="F41" s="3"/>
      <x:c r="G41" s="3"/>
      <x:c r="H41" s="3"/>
    </x:row>
    <x:row r="42" ht="25" customHeight="1">
      <x:c r="A42" s="3"/>
      <x:c r="B42" s="3"/>
      <x:c r="C42" s="3"/>
      <x:c r="D42" s="3"/>
      <x:c r="E42" s="3"/>
      <x:c r="F42" s="3"/>
      <x:c r="G42" s="3"/>
      <x:c r="H42" s="3"/>
    </x:row>
    <x:row r="43" ht="25" customHeight="1">
      <x:c r="A43" s="3"/>
      <x:c r="B43" s="3"/>
      <x:c r="C43" s="3"/>
      <x:c r="D43" s="3"/>
      <x:c r="E43" s="3"/>
      <x:c r="F43" s="3"/>
      <x:c r="G43" s="3"/>
      <x:c r="H43" s="3"/>
    </x:row>
    <x:row r="44" ht="25" customHeight="1">
      <x:c r="A44" s="3"/>
      <x:c r="B44" s="3"/>
      <x:c r="C44" s="3"/>
      <x:c r="D44" s="3"/>
      <x:c r="E44" s="3"/>
      <x:c r="F44" s="3"/>
      <x:c r="G44" s="3"/>
      <x:c r="H44" s="3"/>
    </x:row>
    <x:row r="45" ht="25" customHeight="1">
      <x:c r="A45" s="3"/>
      <x:c r="B45" s="3"/>
      <x:c r="C45" s="3"/>
      <x:c r="D45" s="3"/>
      <x:c r="E45" s="3"/>
      <x:c r="F45" s="3"/>
      <x:c r="G45" s="3"/>
      <x:c r="H45" s="3"/>
    </x:row>
    <x:row r="46" ht="25" customHeight="1">
      <x:c r="A46" s="3"/>
      <x:c r="B46" s="3"/>
      <x:c r="C46" s="3"/>
      <x:c r="D46" s="3"/>
      <x:c r="E46" s="3"/>
      <x:c r="F46" s="3"/>
      <x:c r="G46" s="3"/>
      <x:c r="H46" s="3"/>
    </x:row>
    <x:row r="47" ht="25" customHeight="1">
      <x:c r="A47" s="3"/>
      <x:c r="B47" s="3"/>
      <x:c r="C47" s="3"/>
      <x:c r="D47" s="3"/>
      <x:c r="E47" s="3"/>
      <x:c r="F47" s="3"/>
      <x:c r="G47" s="3"/>
      <x:c r="H47" s="3"/>
    </x:row>
    <x:row r="48" ht="25" customHeight="1">
      <x:c r="A48" s="3"/>
      <x:c r="B48" s="3"/>
      <x:c r="C48" s="3"/>
      <x:c r="D48" s="3"/>
      <x:c r="E48" s="3"/>
      <x:c r="F48" s="3"/>
      <x:c r="G48" s="3"/>
      <x:c r="H48" s="3"/>
    </x:row>
    <x:row r="49" ht="25" customHeight="1">
      <x:c r="A49" s="3"/>
      <x:c r="B49" s="3"/>
      <x:c r="C49" s="3"/>
      <x:c r="D49" s="3"/>
      <x:c r="E49" s="3"/>
      <x:c r="F49" s="3"/>
      <x:c r="G49" s="3"/>
      <x:c r="H49" s="3"/>
    </x:row>
    <x:row r="50" ht="25" customHeight="1">
      <x:c r="A50" s="3"/>
      <x:c r="B50" s="3"/>
      <x:c r="C50" s="3"/>
      <x:c r="D50" s="3"/>
      <x:c r="E50" s="3"/>
      <x:c r="F50" s="3"/>
      <x:c r="G50" s="3"/>
      <x:c r="H50" s="3"/>
    </x:row>
    <x:row r="51" ht="25" customHeight="1">
      <x:c r="A51" s="3"/>
      <x:c r="B51" s="3"/>
      <x:c r="C51" s="3"/>
      <x:c r="D51" s="3"/>
      <x:c r="E51" s="3"/>
      <x:c r="F51" s="3"/>
      <x:c r="G51" s="3"/>
      <x:c r="H51" s="3"/>
    </x:row>
    <x:row r="52" ht="25" customHeight="1">
      <x:c r="A52" s="3"/>
      <x:c r="B52" s="3"/>
      <x:c r="C52" s="3"/>
      <x:c r="D52" s="3"/>
      <x:c r="E52" s="3"/>
      <x:c r="F52" s="3"/>
      <x:c r="G52" s="3"/>
      <x:c r="H52" s="3"/>
    </x:row>
    <x:row r="53" ht="25" customHeight="1">
      <x:c r="A53" s="3"/>
      <x:c r="B53" s="3"/>
      <x:c r="C53" s="3"/>
      <x:c r="D53" s="3"/>
      <x:c r="E53" s="3"/>
      <x:c r="F53" s="3"/>
      <x:c r="G53" s="3"/>
      <x:c r="H53" s="3"/>
    </x:row>
    <x:row r="54" ht="25" customHeight="1">
      <x:c r="A54" s="3"/>
      <x:c r="B54" s="3"/>
      <x:c r="C54" s="3"/>
      <x:c r="D54" s="3"/>
      <x:c r="E54" s="3"/>
      <x:c r="F54" s="3"/>
      <x:c r="G54" s="3"/>
      <x:c r="H54" s="3"/>
    </x:row>
    <x:row r="55" ht="25" customHeight="1">
      <x:c r="A55" s="3"/>
      <x:c r="B55" s="3"/>
      <x:c r="C55" s="3"/>
      <x:c r="D55" s="3"/>
      <x:c r="E55" s="3"/>
      <x:c r="F55" s="3"/>
      <x:c r="G55" s="3"/>
      <x:c r="H55" s="3"/>
    </x:row>
    <x:row r="56" ht="25" customHeight="1">
      <x:c r="A56" s="3"/>
      <x:c r="B56" s="3"/>
      <x:c r="C56" s="3"/>
      <x:c r="D56" s="3"/>
      <x:c r="E56" s="3"/>
      <x:c r="F56" s="3"/>
      <x:c r="G56" s="3"/>
      <x:c r="H56" s="3"/>
    </x:row>
    <x:row r="57" ht="25" customHeight="1">
      <x:c r="A57" s="3"/>
      <x:c r="B57" s="3"/>
      <x:c r="C57" s="3"/>
      <x:c r="D57" s="3"/>
      <x:c r="E57" s="3"/>
      <x:c r="F57" s="3"/>
      <x:c r="G57" s="3"/>
      <x:c r="H57" s="3"/>
    </x:row>
    <x:row r="58" ht="25" customHeight="1">
      <x:c r="A58" s="3"/>
      <x:c r="B58" s="3"/>
      <x:c r="C58" s="3"/>
      <x:c r="D58" s="3"/>
      <x:c r="E58" s="3"/>
      <x:c r="F58" s="3"/>
      <x:c r="G58" s="3"/>
      <x:c r="H58" s="3"/>
    </x:row>
  </x:sheetData>
  <x:dataValidations count="2">
    <x:dataValidation type="date" operator="between" sqref="B4:B5">
      <x:formula1>36526</x:formula1>
      <x:formula2>73415</x:formula2>
    </x:dataValidation>
    <x:dataValidation type="decimal" operator="between" sqref="B8">
      <x:formula1>0</x:formula1>
      <x:formula2>365</x:formula2>
    </x:dataValidation>
  </x:dataValidations>
  <x:pageMargins left="0.7" right="0.7" top="0.75" bottom="0.75" header="0.3" footer="0.3"/>
</x:worksheet>
</file>