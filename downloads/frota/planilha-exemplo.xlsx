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ec2e1be2d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ac6f6044b86c4e79"/>
    <x:sheet xmlns:r="http://schemas.openxmlformats.org/officeDocument/2006/relationships" name="Abastecimentos" sheetId="2" r:id="Rf78a2b993f164a05"/>
    <x:sheet xmlns:r="http://schemas.openxmlformats.org/officeDocument/2006/relationships" name="Ocorrencias" sheetId="3" r:id="R1db20d6993154bf3"/>
    <x:sheet xmlns:r="http://schemas.openxmlformats.org/officeDocument/2006/relationships" name="Auxiliar" sheetId="4" r:id="Rb542bdecee97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mmm/yyyy"/>
    <x:numFmt numFmtId="202" formatCode="#,##0.0"/>
    <x:numFmt numFmtId="203" formatCode="&quot;R$&quot; #,##0.00"/>
    <x:numFmt numFmtId="204" formatCode="#,##0.00"/>
  </x:numFmts>
  <x:fonts count="5">
    <x:font>
      <x:sz val="11"/>
      <x:name val="Carlito"/>
    </x:font>
    <x:font>
      <x:sz val="11"/>
      <x:color rgb="FF243C33"/>
      <x:name val="Arial"/>
    </x:font>
    <x:font>
      <x:b/>
      <x:sz val="16"/>
      <x:color rgb="FF23493D"/>
      <x:name val="Arial"/>
    </x:font>
    <x:font>
      <x:b/>
      <x:sz val="11"/>
      <x:color rgb="FFFFFFFF"/>
      <x:name val="Arial"/>
    </x:font>
    <x:font>
      <x:i/>
      <x:sz val="10"/>
      <x:color rgb="FF68756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1CD"/>
      </x:patternFill>
    </x:fill>
    <x:fill>
      <x:patternFill patternType="solid">
        <x:fgColor rgb="FF23493D"/>
      </x:patternFill>
    </x:fill>
    <x:fill>
      <x:patternFill patternType="solid">
        <x:fgColor rgb="FFE9F0E8"/>
      </x:patternFill>
    </x:fill>
  </x:fills>
  <x:borders count="8">
    <x:border/>
    <x:border>
      <x:bottom style="thin">
        <x:color rgb="FF23493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bottom style="thin">
        <x:color rgb="FFE8EDE7"/>
      </x:bottom>
    </x:border>
    <x:border>
      <x:top style="thin">
        <x:color rgb="FFE8EDE7"/>
      </x:top>
      <x:bottom style="thin">
        <x:color rgb="FFE8EDE7"/>
      </x:bottom>
    </x:border>
    <x:border>
      <x:top style="thin">
        <x:color rgb="FFE8EDE7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200" fontId="1" fillId="3" borderId="7" xfId="0" applyNumberFormat="1" applyFont="1" applyFill="1" applyBorder="1" applyAlignment="1">
      <x:alignment horizontal="center" vertical="center"/>
    </x:xf>
    <x:xf numFmtId="202" fontId="1" fillId="3" borderId="5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3" fontId="1" fillId="3" borderId="7" xfId="0" applyNumberFormat="1" applyFont="1" applyFill="1" applyBorder="1" applyAlignment="1">
      <x:alignment vertical="center"/>
    </x:xf>
    <x:xf numFmtId="204" fontId="1" fillId="5" borderId="5" xfId="0" applyNumberFormat="1" applyFont="1" applyFill="1" applyBorder="1" applyAlignment="1">
      <x:alignment vertical="center"/>
    </x:xf>
    <x:xf numFmtId="204" fontId="1" fillId="5" borderId="6" xfId="0" applyNumberFormat="1" applyFont="1" applyFill="1" applyBorder="1" applyAlignment="1">
      <x:alignment vertical="center"/>
    </x:xf>
    <x:xf numFmtId="204" fontId="1" fillId="5" borderId="7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/>
    </x:xf>
    <x:xf numFmtId="203" fontId="1" fillId="5" borderId="6" xfId="0" applyNumberFormat="1" applyFont="1" applyFill="1" applyBorder="1" applyAlignment="1">
      <x:alignment vertical="center"/>
    </x:xf>
    <x:xf numFmtId="203" fontId="1" fillId="5" borderId="7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vertical="center"/>
    </x:xf>
    <x:xf numFmtId="201" fontId="1" fillId="5" borderId="6" xfId="0" applyNumberFormat="1" applyFont="1" applyFill="1" applyBorder="1" applyAlignment="1">
      <x:alignment vertical="center"/>
    </x:xf>
    <x:xf numFmtId="201" fontId="1" fillId="5" borderId="7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204" fontId="1" fillId="5" borderId="5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horizontal="center" vertical="center"/>
    </x:xf>
    <x:xf numFmtId="204" fontId="1" fillId="5" borderId="6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horizontal="center" vertical="center"/>
    </x:xf>
    <x:xf numFmtId="204" fontId="1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17f73c41a488e" /><Relationship Type="http://schemas.openxmlformats.org/officeDocument/2006/relationships/theme" Target="/xl/theme/theme1.xml" Id="Ra911a82b3fdb4866" /><Relationship Type="http://schemas.openxmlformats.org/officeDocument/2006/relationships/sharedStrings" Target="/xl/sharedStrings.xml" Id="R80aab1a2dd454b91" /><Relationship Type="http://schemas.openxmlformats.org/officeDocument/2006/relationships/worksheet" Target="/xl/worksheets/sheet1.xml" Id="Rac6f6044b86c4e79" /><Relationship Type="http://schemas.openxmlformats.org/officeDocument/2006/relationships/worksheet" Target="/xl/worksheets/sheet2.xml" Id="Rf78a2b993f164a05" /><Relationship Type="http://schemas.openxmlformats.org/officeDocument/2006/relationships/worksheet" Target="/xl/worksheets/sheet3.xml" Id="R1db20d6993154bf3" /><Relationship Type="http://schemas.openxmlformats.org/officeDocument/2006/relationships/worksheet" Target="/xl/worksheets/sheet4.xml" Id="Rb542bdecee974c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78d7ce291749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Ocorrências por situação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spPr>
            <a:solidFill xmlns:a="http://schemas.openxmlformats.org/drawingml/2006/main">
              <a:srgbClr val="23493D"/>
            </a:solidFill>
          </c:spPr>
          <c:cat>
            <c:strRef>
              <c:f>'Painel'!$A$19:$A$21</c:f>
              <c:strCache>
                <c:ptCount val="0"/>
              </c:strCache>
            </c:strRef>
          </c:cat>
          <c:val>
            <c:numRef>
              <c:f>'Painel'!$B$19:$B$21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78d7ce291749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bastecimentosFrota" displayName="AbastecimentosFrota" ref="A6:O56" headerRowCount="1" totalsRowCount="0" totalsRowShown="0">
  <x:tableColumns count="15">
    <x:tableColumn id="1" name="ID"/>
    <x:tableColumn id="2" name="Veículo"/>
    <x:tableColumn id="3" name="Data"/>
    <x:tableColumn id="4" name="Hodômetro anterior (km)"/>
    <x:tableColumn id="5" name="Hodômetro atual (km)"/>
    <x:tableColumn id="6" name="Litros no intervalo"/>
    <x:tableColumn id="7" name="Preço médio por litro (R$)"/>
    <x:tableColumn id="8" name="Intervalo completo?"/>
    <x:tableColumn id="9" name="Distância (km)"/>
    <x:tableColumn id="10" name="Despesa (R$)"/>
    <x:tableColumn id="11" name="Consumo (km/l)"/>
    <x:tableColumn id="12" name="Conferência"/>
    <x:tableColumn id="13" name="Mês"/>
    <x:tableColumn id="14" name="Km válidos no consumo"/>
    <x:tableColumn id="15" name="Litros válidos no consum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orrenciasFrota" displayName="OcorrenciasFrota" ref="A6:H56" headerRowCount="1" totalsRowCount="0" totalsRowShown="0">
  <x:tableColumns count="8">
    <x:tableColumn id="1" name="ID"/>
    <x:tableColumn id="2" name="Veículo"/>
    <x:tableColumn id="3" name="Data"/>
    <x:tableColumn id="4" name="Tipo"/>
    <x:tableColumn id="5" name="Descrição"/>
    <x:tableColumn id="6" name="Situação"/>
    <x:tableColumn id="7" name="Conferência"/>
    <x:tableColumn id="8" name="Mê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c2521c401e4f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dad4402d3a48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c37bb60cac414d" /></Relationships>
</file>

<file path=xl/worksheets/sheet1.xml><?xml version="1.0" encoding="utf-8"?>
<x:worksheet xmlns:x="http://schemas.openxmlformats.org/spreadsheetml/2006/main">
  <x:sheetPr>
    <x:tabColor rgb="FF23493D"/>
  </x:sheetPr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4" t="str">
        <x:v>Controle de frota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3" t="str">
        <x:v>Mês selecionado</x:v>
      </x:c>
      <x:c r="B4" s="53" t="n">
        <x:f>'Auxiliar'!B5</x:f>
        <x:v>46266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 t="str">
        <x:v>Posição em</x:v>
      </x:c>
      <x:c r="B5" s="54" t="n">
        <x:f>'Auxiliar'!B4</x:f>
        <x:v>46282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46" customHeight="1">
      <x:c r="A7" s="16" t="str">
        <x:v>Indicador</x:v>
      </x:c>
      <x:c r="B7" s="17" t="str">
        <x:v>Resultado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9" customHeight="1">
      <x:c r="A8" s="3" t="str">
        <x:v>Despesa do mês até a referência</x:v>
      </x:c>
      <x:c r="B8" s="55" t="n">
        <x:f>SUMIFS(Abastecimentos!$J$7:$J$56,Abastecimentos!$M$7:$M$56,Auxiliar!$B$5,Abastecimentos!$C$7:$C$56,"&lt;="&amp;Auxiliar!$B$4)</x:f>
        <x:v>718.95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9" customHeight="1">
      <x:c r="A9" s="3" t="str">
        <x:v>Distância válida para consumo (km)</x:v>
      </x:c>
      <x:c r="B9" s="56" t="n">
        <x:f>SUMIFS(Abastecimentos!$N$7:$N$56,Abastecimentos!$M$7:$M$56,Auxiliar!$B$5,Abastecimentos!$C$7:$C$56,"&lt;="&amp;Auxiliar!$B$4)</x:f>
        <x:v>1120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9" customHeight="1">
      <x:c r="A10" s="3" t="str">
        <x:v>Litros válidos para consumo</x:v>
      </x:c>
      <x:c r="B10" s="56" t="n">
        <x:f>SUMIFS(Abastecimentos!$O$7:$O$56,Abastecimentos!$M$7:$M$56,Auxiliar!$B$5,Abastecimentos!$C$7:$C$56,"&lt;="&amp;Auxiliar!$B$4)</x:f>
        <x:v>95.5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9" customHeight="1">
      <x:c r="A11" s="3" t="str">
        <x:v>Consumo ponderado (km/l)</x:v>
      </x:c>
      <x:c r="B11" s="56" t="n">
        <x:f>IF(B10&gt;0,B9/B10,"Sem intervalo completo")</x:f>
        <x:v>11.727748691099476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9" customHeight="1">
      <x:c r="A12" s="3" t="str">
        <x:v>Ocorrências pendentes até a referência</x:v>
      </x:c>
      <x:c r="B12" s="22" t="n">
        <x:f>SUM(B19:B20)</x:f>
        <x:v>3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9" customHeight="1">
      <x:c r="A13" s="3" t="str">
        <x:v>Linhas de abastecimento a conferir</x:v>
      </x:c>
      <x:c r="B13" s="22" t="n">
        <x:f>SUMPRODUCT((Abastecimentos!$L$7:$L$56&lt;&gt;"")*(Abastecimentos!$L$7:$L$56&lt;&gt;"Válido")*(Abastecimentos!$L$7:$L$56&lt;&gt;"Parcial"))</x:f>
        <x:v>0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9" customHeight="1">
      <x:c r="A14" s="3" t="str">
        <x:v>Linhas de ocorrências a conferir</x:v>
      </x:c>
      <x:c r="B14" s="22" t="n">
        <x:f>SUMPRODUCT((Ocorrencias!$G$7:$G$56&lt;&gt;"")*(Ocorrencias!$G$7:$G$56&lt;&gt;"Válido"))</x:f>
        <x:v>0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9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9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9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46" customHeight="1">
      <x:c r="A18" s="16" t="str">
        <x:v>Ocorrências até a referência</x:v>
      </x:c>
      <x:c r="B18" s="17" t="str">
        <x:v>Quantidade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3" t="str">
        <x:v>Pendente</x:v>
      </x:c>
      <x:c r="B19" s="3" t="n">
        <x:f>COUNTIFS(Ocorrencias!$F$7:$F$56,A19,Ocorrencias!$G$7:$G$56,"Válido",Ocorrencias!$C$7:$C$56,"&lt;="&amp;Auxiliar!$B$4)</x:f>
        <x:v>3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3" t="str">
        <x:v>Em conferência</x:v>
      </x:c>
      <x:c r="B20" s="3" t="n">
        <x:f>COUNTIFS(Ocorrencias!$F$7:$F$56,A20,Ocorrencias!$G$7:$G$56,"Válido",Ocorrencias!$C$7:$C$56,"&lt;="&amp;Auxiliar!$B$4)</x:f>
        <x:v>0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3" t="str">
        <x:v>Conferido</x:v>
      </x:c>
      <x:c r="B21" s="3" t="n">
        <x:f>COUNTIFS(Ocorrencias!$F$7:$F$56,A21,Ocorrencias!$G$7:$G$56,"Válido",Ocorrencias!$C$7:$C$56,"&lt;="&amp;Auxiliar!$B$4)</x:f>
        <x:v>1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5" customHeight="1">
      <x:c r="A24" s="3" t="str">
        <x:v>Como começar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5" customHeight="1">
      <x:c r="A25" s="3" t="str">
        <x:v>1. Cadastre os veículos em Auxiliar.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5" customHeight="1">
      <x:c r="A26" s="3" t="str">
        <x:v>2. Preencha os lançamentos nas abas operacionais.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5" customHeight="1">
      <x:c r="A27" s="3" t="str">
        <x:v>3. Confira as pendências e acompanhe o Painel.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18" t="str">
        <x:v>Despesas parciais entram no total. Consumo usa somente intervalos completos válidos.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18" t="str">
        <x:v>O mês é selecionado em Auxiliar. Pendências cadastrais consideram todas as linhas preparadas.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</x:sheetData>
  <x:pageMargins left="0.7" right="0.7" top="0.75" bottom="0.75" header="0.3" footer="0.3"/>
  <x:drawing xmlns:r="http://schemas.openxmlformats.org/officeDocument/2006/relationships" r:id="R65c2521c401e4f4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19" hidden="0" customWidth="1"/>
    <x:col min="7" max="7" width="21" hidden="0" customWidth="1"/>
    <x:col min="8" max="8" width="20" hidden="0" customWidth="1"/>
    <x:col min="9" max="9" width="17" hidden="0" customWidth="1"/>
    <x:col min="10" max="10" width="20" hidden="0" customWidth="1"/>
    <x:col min="11" max="11" width="19" hidden="0" customWidth="1"/>
    <x:col min="12" max="12" width="30" hidden="0" customWidth="1"/>
    <x:col min="13" max="13" width="16" hidden="0" customWidth="1"/>
    <x:col min="14" max="14" width="20" hidden="0" customWidth="1"/>
    <x:col min="15" max="15" width="21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4" t="str">
        <x:v>Abastecimentos e intervalos de consumo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5" customHeight="1">
      <x:c r="A4" s="18" t="str">
        <x:v>Preencha A:H. Intervalo completo = distância e litros entre dois tanques cheios, incluindo abastecimentos intermediários.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46" customHeight="1">
      <x:c r="A6" s="16" t="str">
        <x:v>ID</x:v>
      </x:c>
      <x:c r="B6" s="21" t="str">
        <x:v>Veículo</x:v>
      </x:c>
      <x:c r="C6" s="21" t="str">
        <x:v>Data</x:v>
      </x:c>
      <x:c r="D6" s="21" t="str">
        <x:v>Hodômetro anterior (km)</x:v>
      </x:c>
      <x:c r="E6" s="21" t="str">
        <x:v>Hodômetro atual (km)</x:v>
      </x:c>
      <x:c r="F6" s="21" t="str">
        <x:v>Litros no intervalo</x:v>
      </x:c>
      <x:c r="G6" s="21" t="str">
        <x:v>Preço médio por litro (R$)</x:v>
      </x:c>
      <x:c r="H6" s="21" t="str">
        <x:v>Intervalo completo?</x:v>
      </x:c>
      <x:c r="I6" s="21" t="str">
        <x:v>Distância (km)</x:v>
      </x:c>
      <x:c r="J6" s="21" t="str">
        <x:v>Despesa (R$)</x:v>
      </x:c>
      <x:c r="K6" s="21" t="str">
        <x:v>Consumo (km/l)</x:v>
      </x:c>
      <x:c r="L6" s="21" t="str">
        <x:v>Conferência</x:v>
      </x:c>
      <x:c r="M6" s="21" t="str">
        <x:v>Mês</x:v>
      </x:c>
      <x:c r="N6" s="21" t="str">
        <x:v>Km válidos no consumo</x:v>
      </x:c>
      <x:c r="O6" s="17" t="str">
        <x:v>Litros válidos no consumo</x:v>
      </x:c>
    </x:row>
    <x:row r="7" ht="30" customHeight="1">
      <x:c r="A7" s="23" t="str">
        <x:v>FR-A01</x:v>
      </x:c>
      <x:c r="B7" s="23" t="str">
        <x:v>FR-01</x:v>
      </x:c>
      <x:c r="C7" s="32" t="n">
        <x:v>46270</x:v>
      </x:c>
      <x:c r="D7" s="35" t="n">
        <x:v>12000</x:v>
      </x:c>
      <x:c r="E7" s="35" t="n">
        <x:v>12420</x:v>
      </x:c>
      <x:c r="F7" s="35" t="n">
        <x:v>35</x:v>
      </x:c>
      <x:c r="G7" s="38" t="n">
        <x:v>6.2</x:v>
      </x:c>
      <x:c r="H7" s="57" t="str">
        <x:v>Sim</x:v>
      </x:c>
      <x:c r="I7" s="41" t="n">
        <x:f>IF(AND(ISNUMBER(D7),ISNUMBER(E7),D7&gt;=0,E7&gt;D7),E7-D7,"")</x:f>
        <x:v>420</x:v>
      </x:c>
      <x:c r="J7" s="44" t="n">
        <x:f>IF(AND(A7&lt;&gt;"",COUNTIFS($A$7:$A$56,A7)=1,COUNTIFS(Auxiliar!$A$9:$A$58,B7)=1,ISNUMBER(C7),C7&gt;=DATE(2000,1,1),C7&lt;=DATE(2100,12,31),ISNUMBER(F7),F7&gt;0,ISNUMBER(G7),G7&gt;=0),ROUND(F7*G7,2),"")</x:f>
        <x:v>217</x:v>
      </x:c>
      <x:c r="K7" s="41" t="n">
        <x:f>IF(L7="Válido",I7/F7,"")</x:f>
        <x:v>12</x:v>
      </x:c>
      <x:c r="L7" s="58" t="str">
        <x:f>IF(COUNTA(A7:H7)=0,"",IF(A7="","Informe ID",IF(COUNTIFS($A$7:$A$56,A7)&lt;&gt;1,"Duplicado: ID",IF(COUNTIFS(Auxiliar!$A$9:$A$58,B7)&lt;&gt;1,"Conferir veículo",IF(OR(NOT(ISNUMBER(C7)),C7&lt;DATE(2000,1,1),C7&gt;DATE(2100,12,31)),"Conferir data",IF(OR(NOT(ISNUMBER(D7)),NOT(ISNUMBER(E7)),D7&lt;0,E7&lt;=D7),"Conferir hodômetros",IF(OR(NOT(ISNUMBER(F7)),F7&lt;=0),"Conferir litros",IF(OR(NOT(ISNUMBER(G7)),G7&lt;0),"Conferir preço",IF(AND(H7&lt;&gt;"Sim",H7&lt;&gt;"Não"),"Informe intervalo completo",IF(H7="Não","Parcial","Válido"))))))))))</x:f>
        <x:v>Válido</x:v>
      </x:c>
      <x:c r="M7" s="47" t="n">
        <x:f>IF(AND(ISNUMBER(C7),C7&gt;=DATE(2000,1,1)),DATE(YEAR(C7),MONTH(C7),1),"")</x:f>
        <x:v>46266</x:v>
      </x:c>
      <x:c r="N7" s="41" t="n">
        <x:f>IF(L7="Válido",I7,"")</x:f>
        <x:v>420</x:v>
      </x:c>
      <x:c r="O7" s="41" t="n">
        <x:f>IF(L7="Válido",F7,"")</x:f>
        <x:v>35</x:v>
      </x:c>
    </x:row>
    <x:row r="8" ht="30" customHeight="1">
      <x:c r="A8" s="25" t="str">
        <x:v>FR-A02</x:v>
      </x:c>
      <x:c r="B8" s="25" t="str">
        <x:v>FR-01</x:v>
      </x:c>
      <x:c r="C8" s="33" t="n">
        <x:v>46279</x:v>
      </x:c>
      <x:c r="D8" s="36" t="n">
        <x:v>12420</x:v>
      </x:c>
      <x:c r="E8" s="36" t="n">
        <x:v>12810</x:v>
      </x:c>
      <x:c r="F8" s="36" t="n">
        <x:v>32.5</x:v>
      </x:c>
      <x:c r="G8" s="39" t="n">
        <x:v>6.3</x:v>
      </x:c>
      <x:c r="H8" s="59" t="str">
        <x:v>Sim</x:v>
      </x:c>
      <x:c r="I8" s="42" t="n">
        <x:f>IF(AND(ISNUMBER(D8),ISNUMBER(E8),D8&gt;=0,E8&gt;D8),E8-D8,"")</x:f>
        <x:v>390</x:v>
      </x:c>
      <x:c r="J8" s="45" t="n">
        <x:f>IF(AND(A8&lt;&gt;"",COUNTIFS($A$7:$A$56,A8)=1,COUNTIFS(Auxiliar!$A$9:$A$58,B8)=1,ISNUMBER(C8),C8&gt;=DATE(2000,1,1),C8&lt;=DATE(2100,12,31),ISNUMBER(F8),F8&gt;0,ISNUMBER(G8),G8&gt;=0),ROUND(F8*G8,2),"")</x:f>
        <x:v>204.75</x:v>
      </x:c>
      <x:c r="K8" s="42" t="n">
        <x:f>IF(L8="Válido",I8/F8,"")</x:f>
        <x:v>12</x:v>
      </x:c>
      <x:c r="L8" s="60" t="str">
        <x:f>IF(COUNTA(A8:H8)=0,"",IF(A8="","Informe ID",IF(COUNTIFS($A$7:$A$56,A8)&lt;&gt;1,"Duplicado: ID",IF(COUNTIFS(Auxiliar!$A$9:$A$58,B8)&lt;&gt;1,"Conferir veículo",IF(OR(NOT(ISNUMBER(C8)),C8&lt;DATE(2000,1,1),C8&gt;DATE(2100,12,31)),"Conferir data",IF(OR(NOT(ISNUMBER(D8)),NOT(ISNUMBER(E8)),D8&lt;0,E8&lt;=D8),"Conferir hodômetros",IF(OR(NOT(ISNUMBER(F8)),F8&lt;=0),"Conferir litros",IF(OR(NOT(ISNUMBER(G8)),G8&lt;0),"Conferir preço",IF(AND(H8&lt;&gt;"Sim",H8&lt;&gt;"Não"),"Informe intervalo completo",IF(H8="Não","Parcial","Válido"))))))))))</x:f>
        <x:v>Válido</x:v>
      </x:c>
      <x:c r="M8" s="48" t="n">
        <x:f>IF(AND(ISNUMBER(C8),C8&gt;=DATE(2000,1,1)),DATE(YEAR(C8),MONTH(C8),1),"")</x:f>
        <x:v>46266</x:v>
      </x:c>
      <x:c r="N8" s="42" t="n">
        <x:f>IF(L8="Válido",I8,"")</x:f>
        <x:v>390</x:v>
      </x:c>
      <x:c r="O8" s="42" t="n">
        <x:f>IF(L8="Válido",F8,"")</x:f>
        <x:v>32.5</x:v>
      </x:c>
    </x:row>
    <x:row r="9" ht="30" customHeight="1">
      <x:c r="A9" s="25" t="str">
        <x:v>FR-A03</x:v>
      </x:c>
      <x:c r="B9" s="25" t="str">
        <x:v>FR-02</x:v>
      </x:c>
      <x:c r="C9" s="33" t="n">
        <x:v>46273</x:v>
      </x:c>
      <x:c r="D9" s="36" t="n">
        <x:v>8500</x:v>
      </x:c>
      <x:c r="E9" s="36" t="n">
        <x:v>8810</x:v>
      </x:c>
      <x:c r="F9" s="36" t="n">
        <x:v>28</x:v>
      </x:c>
      <x:c r="G9" s="39" t="n">
        <x:v>6.15</x:v>
      </x:c>
      <x:c r="H9" s="59" t="str">
        <x:v>Sim</x:v>
      </x:c>
      <x:c r="I9" s="42" t="n">
        <x:f>IF(AND(ISNUMBER(D9),ISNUMBER(E9),D9&gt;=0,E9&gt;D9),E9-D9,"")</x:f>
        <x:v>310</x:v>
      </x:c>
      <x:c r="J9" s="45" t="n">
        <x:f>IF(AND(A9&lt;&gt;"",COUNTIFS($A$7:$A$56,A9)=1,COUNTIFS(Auxiliar!$A$9:$A$58,B9)=1,ISNUMBER(C9),C9&gt;=DATE(2000,1,1),C9&lt;=DATE(2100,12,31),ISNUMBER(F9),F9&gt;0,ISNUMBER(G9),G9&gt;=0),ROUND(F9*G9,2),"")</x:f>
        <x:v>172.2</x:v>
      </x:c>
      <x:c r="K9" s="42" t="n">
        <x:f>IF(L9="Válido",I9/F9,"")</x:f>
        <x:v>11.071428571428571</x:v>
      </x:c>
      <x:c r="L9" s="60" t="str">
        <x:f>IF(COUNTA(A9:H9)=0,"",IF(A9="","Informe ID",IF(COUNTIFS($A$7:$A$56,A9)&lt;&gt;1,"Duplicado: ID",IF(COUNTIFS(Auxiliar!$A$9:$A$58,B9)&lt;&gt;1,"Conferir veículo",IF(OR(NOT(ISNUMBER(C9)),C9&lt;DATE(2000,1,1),C9&gt;DATE(2100,12,31)),"Conferir data",IF(OR(NOT(ISNUMBER(D9)),NOT(ISNUMBER(E9)),D9&lt;0,E9&lt;=D9),"Conferir hodômetros",IF(OR(NOT(ISNUMBER(F9)),F9&lt;=0),"Conferir litros",IF(OR(NOT(ISNUMBER(G9)),G9&lt;0),"Conferir preço",IF(AND(H9&lt;&gt;"Sim",H9&lt;&gt;"Não"),"Informe intervalo completo",IF(H9="Não","Parcial","Válido"))))))))))</x:f>
        <x:v>Válido</x:v>
      </x:c>
      <x:c r="M9" s="48" t="n">
        <x:f>IF(AND(ISNUMBER(C9),C9&gt;=DATE(2000,1,1)),DATE(YEAR(C9),MONTH(C9),1),"")</x:f>
        <x:v>46266</x:v>
      </x:c>
      <x:c r="N9" s="42" t="n">
        <x:f>IF(L9="Válido",I9,"")</x:f>
        <x:v>310</x:v>
      </x:c>
      <x:c r="O9" s="42" t="n">
        <x:f>IF(L9="Válido",F9,"")</x:f>
        <x:v>28</x:v>
      </x:c>
    </x:row>
    <x:row r="10" ht="30" customHeight="1">
      <x:c r="A10" s="25" t="str">
        <x:v>FR-A04</x:v>
      </x:c>
      <x:c r="B10" s="25" t="str">
        <x:v>FR-03</x:v>
      </x:c>
      <x:c r="C10" s="33" t="n">
        <x:v>46277</x:v>
      </x:c>
      <x:c r="D10" s="36" t="n">
        <x:v>21500</x:v>
      </x:c>
      <x:c r="E10" s="36" t="n">
        <x:v>21780</x:v>
      </x:c>
      <x:c r="F10" s="36" t="n">
        <x:v>20</x:v>
      </x:c>
      <x:c r="G10" s="39" t="n">
        <x:v>6.25</x:v>
      </x:c>
      <x:c r="H10" s="59" t="str">
        <x:v>Não</x:v>
      </x:c>
      <x:c r="I10" s="42" t="n">
        <x:f>IF(AND(ISNUMBER(D10),ISNUMBER(E10),D10&gt;=0,E10&gt;D10),E10-D10,"")</x:f>
        <x:v>280</x:v>
      </x:c>
      <x:c r="J10" s="45" t="n">
        <x:f>IF(AND(A10&lt;&gt;"",COUNTIFS($A$7:$A$56,A10)=1,COUNTIFS(Auxiliar!$A$9:$A$58,B10)=1,ISNUMBER(C10),C10&gt;=DATE(2000,1,1),C10&lt;=DATE(2100,12,31),ISNUMBER(F10),F10&gt;0,ISNUMBER(G10),G10&gt;=0),ROUND(F10*G10,2),"")</x:f>
        <x:v>125</x:v>
      </x:c>
      <x:c r="K10" s="42" t="str">
        <x:f>IF(L10="Válido",I10/F10,"")</x:f>
      </x:c>
      <x:c r="L10" s="60" t="str">
        <x:f>IF(COUNTA(A10:H10)=0,"",IF(A10="","Informe ID",IF(COUNTIFS($A$7:$A$56,A10)&lt;&gt;1,"Duplicado: ID",IF(COUNTIFS(Auxiliar!$A$9:$A$58,B10)&lt;&gt;1,"Conferir veículo",IF(OR(NOT(ISNUMBER(C10)),C10&lt;DATE(2000,1,1),C10&gt;DATE(2100,12,31)),"Conferir data",IF(OR(NOT(ISNUMBER(D10)),NOT(ISNUMBER(E10)),D10&lt;0,E10&lt;=D10),"Conferir hodômetros",IF(OR(NOT(ISNUMBER(F10)),F10&lt;=0),"Conferir litros",IF(OR(NOT(ISNUMBER(G10)),G10&lt;0),"Conferir preço",IF(AND(H10&lt;&gt;"Sim",H10&lt;&gt;"Não"),"Informe intervalo completo",IF(H10="Não","Parcial","Válido"))))))))))</x:f>
        <x:v>Parcial</x:v>
      </x:c>
      <x:c r="M10" s="48" t="n">
        <x:f>IF(AND(ISNUMBER(C10),C10&gt;=DATE(2000,1,1)),DATE(YEAR(C10),MONTH(C10),1),"")</x:f>
        <x:v>46266</x:v>
      </x:c>
      <x:c r="N10" s="42" t="str">
        <x:f>IF(L10="Válido",I10,"")</x:f>
      </x:c>
      <x:c r="O10" s="42" t="str">
        <x:f>IF(L10="Válido",F10,"")</x:f>
      </x:c>
    </x:row>
    <x:row r="11" ht="30" customHeight="1">
      <x:c r="A11" s="25"/>
      <x:c r="B11" s="25"/>
      <x:c r="C11" s="33"/>
      <x:c r="D11" s="36"/>
      <x:c r="E11" s="36"/>
      <x:c r="F11" s="36"/>
      <x:c r="G11" s="39"/>
      <x:c r="H11" s="59"/>
      <x:c r="I11" s="42" t="str">
        <x:f>IF(AND(ISNUMBER(D11),ISNUMBER(E11),D11&gt;=0,E11&gt;D11),E11-D11,"")</x:f>
      </x:c>
      <x:c r="J11" s="45" t="str">
        <x:f>IF(AND(A11&lt;&gt;"",COUNTIFS($A$7:$A$56,A11)=1,COUNTIFS(Auxiliar!$A$9:$A$58,B11)=1,ISNUMBER(C11),C11&gt;=DATE(2000,1,1),C11&lt;=DATE(2100,12,31),ISNUMBER(F11),F11&gt;0,ISNUMBER(G11),G11&gt;=0),ROUND(F11*G11,2),"")</x:f>
      </x:c>
      <x:c r="K11" s="42" t="str">
        <x:f>IF(L11="Válido",I11/F11,"")</x:f>
      </x:c>
      <x:c r="L11" s="60" t="str">
        <x:f>IF(COUNTA(A11:H11)=0,"",IF(A11="","Informe ID",IF(COUNTIFS($A$7:$A$56,A11)&lt;&gt;1,"Duplicado: ID",IF(COUNTIFS(Auxiliar!$A$9:$A$58,B11)&lt;&gt;1,"Conferir veículo",IF(OR(NOT(ISNUMBER(C11)),C11&lt;DATE(2000,1,1),C11&gt;DATE(2100,12,31)),"Conferir data",IF(OR(NOT(ISNUMBER(D11)),NOT(ISNUMBER(E11)),D11&lt;0,E11&lt;=D11),"Conferir hodômetros",IF(OR(NOT(ISNUMBER(F11)),F11&lt;=0),"Conferir litros",IF(OR(NOT(ISNUMBER(G11)),G11&lt;0),"Conferir preço",IF(AND(H11&lt;&gt;"Sim",H11&lt;&gt;"Não"),"Informe intervalo completo",IF(H11="Não","Parcial","Válido"))))))))))</x:f>
      </x:c>
      <x:c r="M11" s="48" t="str">
        <x:f>IF(AND(ISNUMBER(C11),C11&gt;=DATE(2000,1,1)),DATE(YEAR(C11),MONTH(C11),1),"")</x:f>
      </x:c>
      <x:c r="N11" s="42" t="str">
        <x:f>IF(L11="Válido",I11,"")</x:f>
      </x:c>
      <x:c r="O11" s="42" t="str">
        <x:f>IF(L11="Válido",F11,"")</x:f>
      </x:c>
    </x:row>
    <x:row r="12" ht="30" customHeight="1">
      <x:c r="A12" s="25"/>
      <x:c r="B12" s="25"/>
      <x:c r="C12" s="33"/>
      <x:c r="D12" s="36"/>
      <x:c r="E12" s="36"/>
      <x:c r="F12" s="36"/>
      <x:c r="G12" s="39"/>
      <x:c r="H12" s="59"/>
      <x:c r="I12" s="42" t="str">
        <x:f>IF(AND(ISNUMBER(D12),ISNUMBER(E12),D12&gt;=0,E12&gt;D12),E12-D12,"")</x:f>
      </x:c>
      <x:c r="J12" s="45" t="str">
        <x:f>IF(AND(A12&lt;&gt;"",COUNTIFS($A$7:$A$56,A12)=1,COUNTIFS(Auxiliar!$A$9:$A$58,B12)=1,ISNUMBER(C12),C12&gt;=DATE(2000,1,1),C12&lt;=DATE(2100,12,31),ISNUMBER(F12),F12&gt;0,ISNUMBER(G12),G12&gt;=0),ROUND(F12*G12,2),"")</x:f>
      </x:c>
      <x:c r="K12" s="42" t="str">
        <x:f>IF(L12="Válido",I12/F12,"")</x:f>
      </x:c>
      <x:c r="L12" s="60" t="str">
        <x:f>IF(COUNTA(A12:H12)=0,"",IF(A12="","Informe ID",IF(COUNTIFS($A$7:$A$56,A12)&lt;&gt;1,"Duplicado: ID",IF(COUNTIFS(Auxiliar!$A$9:$A$58,B12)&lt;&gt;1,"Conferir veículo",IF(OR(NOT(ISNUMBER(C12)),C12&lt;DATE(2000,1,1),C12&gt;DATE(2100,12,31)),"Conferir data",IF(OR(NOT(ISNUMBER(D12)),NOT(ISNUMBER(E12)),D12&lt;0,E12&lt;=D12),"Conferir hodômetros",IF(OR(NOT(ISNUMBER(F12)),F12&lt;=0),"Conferir litros",IF(OR(NOT(ISNUMBER(G12)),G12&lt;0),"Conferir preço",IF(AND(H12&lt;&gt;"Sim",H12&lt;&gt;"Não"),"Informe intervalo completo",IF(H12="Não","Parcial","Válido"))))))))))</x:f>
      </x:c>
      <x:c r="M12" s="48" t="str">
        <x:f>IF(AND(ISNUMBER(C12),C12&gt;=DATE(2000,1,1)),DATE(YEAR(C12),MONTH(C12),1),"")</x:f>
      </x:c>
      <x:c r="N12" s="42" t="str">
        <x:f>IF(L12="Válido",I12,"")</x:f>
      </x:c>
      <x:c r="O12" s="42" t="str">
        <x:f>IF(L12="Válido",F12,"")</x:f>
      </x:c>
    </x:row>
    <x:row r="13" ht="30" customHeight="1">
      <x:c r="A13" s="25"/>
      <x:c r="B13" s="25"/>
      <x:c r="C13" s="33"/>
      <x:c r="D13" s="36"/>
      <x:c r="E13" s="36"/>
      <x:c r="F13" s="36"/>
      <x:c r="G13" s="39"/>
      <x:c r="H13" s="59"/>
      <x:c r="I13" s="42" t="str">
        <x:f>IF(AND(ISNUMBER(D13),ISNUMBER(E13),D13&gt;=0,E13&gt;D13),E13-D13,"")</x:f>
      </x:c>
      <x:c r="J13" s="45" t="str">
        <x:f>IF(AND(A13&lt;&gt;"",COUNTIFS($A$7:$A$56,A13)=1,COUNTIFS(Auxiliar!$A$9:$A$58,B13)=1,ISNUMBER(C13),C13&gt;=DATE(2000,1,1),C13&lt;=DATE(2100,12,31),ISNUMBER(F13),F13&gt;0,ISNUMBER(G13),G13&gt;=0),ROUND(F13*G13,2),"")</x:f>
      </x:c>
      <x:c r="K13" s="42" t="str">
        <x:f>IF(L13="Válido",I13/F13,"")</x:f>
      </x:c>
      <x:c r="L13" s="60" t="str">
        <x:f>IF(COUNTA(A13:H13)=0,"",IF(A13="","Informe ID",IF(COUNTIFS($A$7:$A$56,A13)&lt;&gt;1,"Duplicado: ID",IF(COUNTIFS(Auxiliar!$A$9:$A$58,B13)&lt;&gt;1,"Conferir veículo",IF(OR(NOT(ISNUMBER(C13)),C13&lt;DATE(2000,1,1),C13&gt;DATE(2100,12,31)),"Conferir data",IF(OR(NOT(ISNUMBER(D13)),NOT(ISNUMBER(E13)),D13&lt;0,E13&lt;=D13),"Conferir hodômetros",IF(OR(NOT(ISNUMBER(F13)),F13&lt;=0),"Conferir litros",IF(OR(NOT(ISNUMBER(G13)),G13&lt;0),"Conferir preço",IF(AND(H13&lt;&gt;"Sim",H13&lt;&gt;"Não"),"Informe intervalo completo",IF(H13="Não","Parcial","Válido"))))))))))</x:f>
      </x:c>
      <x:c r="M13" s="48" t="str">
        <x:f>IF(AND(ISNUMBER(C13),C13&gt;=DATE(2000,1,1)),DATE(YEAR(C13),MONTH(C13),1),"")</x:f>
      </x:c>
      <x:c r="N13" s="42" t="str">
        <x:f>IF(L13="Válido",I13,"")</x:f>
      </x:c>
      <x:c r="O13" s="42" t="str">
        <x:f>IF(L13="Válido",F13,"")</x:f>
      </x:c>
    </x:row>
    <x:row r="14" ht="30" customHeight="1">
      <x:c r="A14" s="25"/>
      <x:c r="B14" s="25"/>
      <x:c r="C14" s="33"/>
      <x:c r="D14" s="36"/>
      <x:c r="E14" s="36"/>
      <x:c r="F14" s="36"/>
      <x:c r="G14" s="39"/>
      <x:c r="H14" s="59"/>
      <x:c r="I14" s="42" t="str">
        <x:f>IF(AND(ISNUMBER(D14),ISNUMBER(E14),D14&gt;=0,E14&gt;D14),E14-D14,"")</x:f>
      </x:c>
      <x:c r="J14" s="45" t="str">
        <x:f>IF(AND(A14&lt;&gt;"",COUNTIFS($A$7:$A$56,A14)=1,COUNTIFS(Auxiliar!$A$9:$A$58,B14)=1,ISNUMBER(C14),C14&gt;=DATE(2000,1,1),C14&lt;=DATE(2100,12,31),ISNUMBER(F14),F14&gt;0,ISNUMBER(G14),G14&gt;=0),ROUND(F14*G14,2),"")</x:f>
      </x:c>
      <x:c r="K14" s="42" t="str">
        <x:f>IF(L14="Válido",I14/F14,"")</x:f>
      </x:c>
      <x:c r="L14" s="60" t="str">
        <x:f>IF(COUNTA(A14:H14)=0,"",IF(A14="","Informe ID",IF(COUNTIFS($A$7:$A$56,A14)&lt;&gt;1,"Duplicado: ID",IF(COUNTIFS(Auxiliar!$A$9:$A$58,B14)&lt;&gt;1,"Conferir veículo",IF(OR(NOT(ISNUMBER(C14)),C14&lt;DATE(2000,1,1),C14&gt;DATE(2100,12,31)),"Conferir data",IF(OR(NOT(ISNUMBER(D14)),NOT(ISNUMBER(E14)),D14&lt;0,E14&lt;=D14),"Conferir hodômetros",IF(OR(NOT(ISNUMBER(F14)),F14&lt;=0),"Conferir litros",IF(OR(NOT(ISNUMBER(G14)),G14&lt;0),"Conferir preço",IF(AND(H14&lt;&gt;"Sim",H14&lt;&gt;"Não"),"Informe intervalo completo",IF(H14="Não","Parcial","Válido"))))))))))</x:f>
      </x:c>
      <x:c r="M14" s="48" t="str">
        <x:f>IF(AND(ISNUMBER(C14),C14&gt;=DATE(2000,1,1)),DATE(YEAR(C14),MONTH(C14),1),"")</x:f>
      </x:c>
      <x:c r="N14" s="42" t="str">
        <x:f>IF(L14="Válido",I14,"")</x:f>
      </x:c>
      <x:c r="O14" s="42" t="str">
        <x:f>IF(L14="Válido",F14,"")</x:f>
      </x:c>
    </x:row>
    <x:row r="15" ht="30" customHeight="1">
      <x:c r="A15" s="25"/>
      <x:c r="B15" s="25"/>
      <x:c r="C15" s="33"/>
      <x:c r="D15" s="36"/>
      <x:c r="E15" s="36"/>
      <x:c r="F15" s="36"/>
      <x:c r="G15" s="39"/>
      <x:c r="H15" s="59"/>
      <x:c r="I15" s="42" t="str">
        <x:f>IF(AND(ISNUMBER(D15),ISNUMBER(E15),D15&gt;=0,E15&gt;D15),E15-D15,"")</x:f>
      </x:c>
      <x:c r="J15" s="45" t="str">
        <x:f>IF(AND(A15&lt;&gt;"",COUNTIFS($A$7:$A$56,A15)=1,COUNTIFS(Auxiliar!$A$9:$A$58,B15)=1,ISNUMBER(C15),C15&gt;=DATE(2000,1,1),C15&lt;=DATE(2100,12,31),ISNUMBER(F15),F15&gt;0,ISNUMBER(G15),G15&gt;=0),ROUND(F15*G15,2),"")</x:f>
      </x:c>
      <x:c r="K15" s="42" t="str">
        <x:f>IF(L15="Válido",I15/F15,"")</x:f>
      </x:c>
      <x:c r="L15" s="60" t="str">
        <x:f>IF(COUNTA(A15:H15)=0,"",IF(A15="","Informe ID",IF(COUNTIFS($A$7:$A$56,A15)&lt;&gt;1,"Duplicado: ID",IF(COUNTIFS(Auxiliar!$A$9:$A$58,B15)&lt;&gt;1,"Conferir veículo",IF(OR(NOT(ISNUMBER(C15)),C15&lt;DATE(2000,1,1),C15&gt;DATE(2100,12,31)),"Conferir data",IF(OR(NOT(ISNUMBER(D15)),NOT(ISNUMBER(E15)),D15&lt;0,E15&lt;=D15),"Conferir hodômetros",IF(OR(NOT(ISNUMBER(F15)),F15&lt;=0),"Conferir litros",IF(OR(NOT(ISNUMBER(G15)),G15&lt;0),"Conferir preço",IF(AND(H15&lt;&gt;"Sim",H15&lt;&gt;"Não"),"Informe intervalo completo",IF(H15="Não","Parcial","Válido"))))))))))</x:f>
      </x:c>
      <x:c r="M15" s="48" t="str">
        <x:f>IF(AND(ISNUMBER(C15),C15&gt;=DATE(2000,1,1)),DATE(YEAR(C15),MONTH(C15),1),"")</x:f>
      </x:c>
      <x:c r="N15" s="42" t="str">
        <x:f>IF(L15="Válido",I15,"")</x:f>
      </x:c>
      <x:c r="O15" s="42" t="str">
        <x:f>IF(L15="Válido",F15,"")</x:f>
      </x:c>
    </x:row>
    <x:row r="16" ht="30" customHeight="1">
      <x:c r="A16" s="25"/>
      <x:c r="B16" s="25"/>
      <x:c r="C16" s="33"/>
      <x:c r="D16" s="36"/>
      <x:c r="E16" s="36"/>
      <x:c r="F16" s="36"/>
      <x:c r="G16" s="39"/>
      <x:c r="H16" s="59"/>
      <x:c r="I16" s="42" t="str">
        <x:f>IF(AND(ISNUMBER(D16),ISNUMBER(E16),D16&gt;=0,E16&gt;D16),E16-D16,"")</x:f>
      </x:c>
      <x:c r="J16" s="45" t="str">
        <x:f>IF(AND(A16&lt;&gt;"",COUNTIFS($A$7:$A$56,A16)=1,COUNTIFS(Auxiliar!$A$9:$A$58,B16)=1,ISNUMBER(C16),C16&gt;=DATE(2000,1,1),C16&lt;=DATE(2100,12,31),ISNUMBER(F16),F16&gt;0,ISNUMBER(G16),G16&gt;=0),ROUND(F16*G16,2),"")</x:f>
      </x:c>
      <x:c r="K16" s="42" t="str">
        <x:f>IF(L16="Válido",I16/F16,"")</x:f>
      </x:c>
      <x:c r="L16" s="60" t="str">
        <x:f>IF(COUNTA(A16:H16)=0,"",IF(A16="","Informe ID",IF(COUNTIFS($A$7:$A$56,A16)&lt;&gt;1,"Duplicado: ID",IF(COUNTIFS(Auxiliar!$A$9:$A$58,B16)&lt;&gt;1,"Conferir veículo",IF(OR(NOT(ISNUMBER(C16)),C16&lt;DATE(2000,1,1),C16&gt;DATE(2100,12,31)),"Conferir data",IF(OR(NOT(ISNUMBER(D16)),NOT(ISNUMBER(E16)),D16&lt;0,E16&lt;=D16),"Conferir hodômetros",IF(OR(NOT(ISNUMBER(F16)),F16&lt;=0),"Conferir litros",IF(OR(NOT(ISNUMBER(G16)),G16&lt;0),"Conferir preço",IF(AND(H16&lt;&gt;"Sim",H16&lt;&gt;"Não"),"Informe intervalo completo",IF(H16="Não","Parcial","Válido"))))))))))</x:f>
      </x:c>
      <x:c r="M16" s="48" t="str">
        <x:f>IF(AND(ISNUMBER(C16),C16&gt;=DATE(2000,1,1)),DATE(YEAR(C16),MONTH(C16),1),"")</x:f>
      </x:c>
      <x:c r="N16" s="42" t="str">
        <x:f>IF(L16="Válido",I16,"")</x:f>
      </x:c>
      <x:c r="O16" s="42" t="str">
        <x:f>IF(L16="Válido",F16,"")</x:f>
      </x:c>
    </x:row>
    <x:row r="17" ht="30" customHeight="1">
      <x:c r="A17" s="25"/>
      <x:c r="B17" s="25"/>
      <x:c r="C17" s="33"/>
      <x:c r="D17" s="36"/>
      <x:c r="E17" s="36"/>
      <x:c r="F17" s="36"/>
      <x:c r="G17" s="39"/>
      <x:c r="H17" s="59"/>
      <x:c r="I17" s="42" t="str">
        <x:f>IF(AND(ISNUMBER(D17),ISNUMBER(E17),D17&gt;=0,E17&gt;D17),E17-D17,"")</x:f>
      </x:c>
      <x:c r="J17" s="45" t="str">
        <x:f>IF(AND(A17&lt;&gt;"",COUNTIFS($A$7:$A$56,A17)=1,COUNTIFS(Auxiliar!$A$9:$A$58,B17)=1,ISNUMBER(C17),C17&gt;=DATE(2000,1,1),C17&lt;=DATE(2100,12,31),ISNUMBER(F17),F17&gt;0,ISNUMBER(G17),G17&gt;=0),ROUND(F17*G17,2),"")</x:f>
      </x:c>
      <x:c r="K17" s="42" t="str">
        <x:f>IF(L17="Válido",I17/F17,"")</x:f>
      </x:c>
      <x:c r="L17" s="60" t="str">
        <x:f>IF(COUNTA(A17:H17)=0,"",IF(A17="","Informe ID",IF(COUNTIFS($A$7:$A$56,A17)&lt;&gt;1,"Duplicado: ID",IF(COUNTIFS(Auxiliar!$A$9:$A$58,B17)&lt;&gt;1,"Conferir veículo",IF(OR(NOT(ISNUMBER(C17)),C17&lt;DATE(2000,1,1),C17&gt;DATE(2100,12,31)),"Conferir data",IF(OR(NOT(ISNUMBER(D17)),NOT(ISNUMBER(E17)),D17&lt;0,E17&lt;=D17),"Conferir hodômetros",IF(OR(NOT(ISNUMBER(F17)),F17&lt;=0),"Conferir litros",IF(OR(NOT(ISNUMBER(G17)),G17&lt;0),"Conferir preço",IF(AND(H17&lt;&gt;"Sim",H17&lt;&gt;"Não"),"Informe intervalo completo",IF(H17="Não","Parcial","Válido"))))))))))</x:f>
      </x:c>
      <x:c r="M17" s="48" t="str">
        <x:f>IF(AND(ISNUMBER(C17),C17&gt;=DATE(2000,1,1)),DATE(YEAR(C17),MONTH(C17),1),"")</x:f>
      </x:c>
      <x:c r="N17" s="42" t="str">
        <x:f>IF(L17="Válido",I17,"")</x:f>
      </x:c>
      <x:c r="O17" s="42" t="str">
        <x:f>IF(L17="Válido",F17,"")</x:f>
      </x:c>
    </x:row>
    <x:row r="18" ht="30" customHeight="1">
      <x:c r="A18" s="25"/>
      <x:c r="B18" s="25"/>
      <x:c r="C18" s="33"/>
      <x:c r="D18" s="36"/>
      <x:c r="E18" s="36"/>
      <x:c r="F18" s="36"/>
      <x:c r="G18" s="39"/>
      <x:c r="H18" s="59"/>
      <x:c r="I18" s="42" t="str">
        <x:f>IF(AND(ISNUMBER(D18),ISNUMBER(E18),D18&gt;=0,E18&gt;D18),E18-D18,"")</x:f>
      </x:c>
      <x:c r="J18" s="45" t="str">
        <x:f>IF(AND(A18&lt;&gt;"",COUNTIFS($A$7:$A$56,A18)=1,COUNTIFS(Auxiliar!$A$9:$A$58,B18)=1,ISNUMBER(C18),C18&gt;=DATE(2000,1,1),C18&lt;=DATE(2100,12,31),ISNUMBER(F18),F18&gt;0,ISNUMBER(G18),G18&gt;=0),ROUND(F18*G18,2),"")</x:f>
      </x:c>
      <x:c r="K18" s="42" t="str">
        <x:f>IF(L18="Válido",I18/F18,"")</x:f>
      </x:c>
      <x:c r="L18" s="60" t="str">
        <x:f>IF(COUNTA(A18:H18)=0,"",IF(A18="","Informe ID",IF(COUNTIFS($A$7:$A$56,A18)&lt;&gt;1,"Duplicado: ID",IF(COUNTIFS(Auxiliar!$A$9:$A$58,B18)&lt;&gt;1,"Conferir veículo",IF(OR(NOT(ISNUMBER(C18)),C18&lt;DATE(2000,1,1),C18&gt;DATE(2100,12,31)),"Conferir data",IF(OR(NOT(ISNUMBER(D18)),NOT(ISNUMBER(E18)),D18&lt;0,E18&lt;=D18),"Conferir hodômetros",IF(OR(NOT(ISNUMBER(F18)),F18&lt;=0),"Conferir litros",IF(OR(NOT(ISNUMBER(G18)),G18&lt;0),"Conferir preço",IF(AND(H18&lt;&gt;"Sim",H18&lt;&gt;"Não"),"Informe intervalo completo",IF(H18="Não","Parcial","Válido"))))))))))</x:f>
      </x:c>
      <x:c r="M18" s="48" t="str">
        <x:f>IF(AND(ISNUMBER(C18),C18&gt;=DATE(2000,1,1)),DATE(YEAR(C18),MONTH(C18),1),"")</x:f>
      </x:c>
      <x:c r="N18" s="42" t="str">
        <x:f>IF(L18="Válido",I18,"")</x:f>
      </x:c>
      <x:c r="O18" s="42" t="str">
        <x:f>IF(L18="Válido",F18,"")</x:f>
      </x:c>
    </x:row>
    <x:row r="19" ht="30" customHeight="1">
      <x:c r="A19" s="25"/>
      <x:c r="B19" s="25"/>
      <x:c r="C19" s="33"/>
      <x:c r="D19" s="36"/>
      <x:c r="E19" s="36"/>
      <x:c r="F19" s="36"/>
      <x:c r="G19" s="39"/>
      <x:c r="H19" s="59"/>
      <x:c r="I19" s="42" t="str">
        <x:f>IF(AND(ISNUMBER(D19),ISNUMBER(E19),D19&gt;=0,E19&gt;D19),E19-D19,"")</x:f>
      </x:c>
      <x:c r="J19" s="45" t="str">
        <x:f>IF(AND(A19&lt;&gt;"",COUNTIFS($A$7:$A$56,A19)=1,COUNTIFS(Auxiliar!$A$9:$A$58,B19)=1,ISNUMBER(C19),C19&gt;=DATE(2000,1,1),C19&lt;=DATE(2100,12,31),ISNUMBER(F19),F19&gt;0,ISNUMBER(G19),G19&gt;=0),ROUND(F19*G19,2),"")</x:f>
      </x:c>
      <x:c r="K19" s="42" t="str">
        <x:f>IF(L19="Válido",I19/F19,"")</x:f>
      </x:c>
      <x:c r="L19" s="60" t="str">
        <x:f>IF(COUNTA(A19:H19)=0,"",IF(A19="","Informe ID",IF(COUNTIFS($A$7:$A$56,A19)&lt;&gt;1,"Duplicado: ID",IF(COUNTIFS(Auxiliar!$A$9:$A$58,B19)&lt;&gt;1,"Conferir veículo",IF(OR(NOT(ISNUMBER(C19)),C19&lt;DATE(2000,1,1),C19&gt;DATE(2100,12,31)),"Conferir data",IF(OR(NOT(ISNUMBER(D19)),NOT(ISNUMBER(E19)),D19&lt;0,E19&lt;=D19),"Conferir hodômetros",IF(OR(NOT(ISNUMBER(F19)),F19&lt;=0),"Conferir litros",IF(OR(NOT(ISNUMBER(G19)),G19&lt;0),"Conferir preço",IF(AND(H19&lt;&gt;"Sim",H19&lt;&gt;"Não"),"Informe intervalo completo",IF(H19="Não","Parcial","Válido"))))))))))</x:f>
      </x:c>
      <x:c r="M19" s="48" t="str">
        <x:f>IF(AND(ISNUMBER(C19),C19&gt;=DATE(2000,1,1)),DATE(YEAR(C19),MONTH(C19),1),"")</x:f>
      </x:c>
      <x:c r="N19" s="42" t="str">
        <x:f>IF(L19="Válido",I19,"")</x:f>
      </x:c>
      <x:c r="O19" s="42" t="str">
        <x:f>IF(L19="Válido",F19,"")</x:f>
      </x:c>
    </x:row>
    <x:row r="20" ht="30" customHeight="1">
      <x:c r="A20" s="25"/>
      <x:c r="B20" s="25"/>
      <x:c r="C20" s="33"/>
      <x:c r="D20" s="36"/>
      <x:c r="E20" s="36"/>
      <x:c r="F20" s="36"/>
      <x:c r="G20" s="39"/>
      <x:c r="H20" s="59"/>
      <x:c r="I20" s="42" t="str">
        <x:f>IF(AND(ISNUMBER(D20),ISNUMBER(E20),D20&gt;=0,E20&gt;D20),E20-D20,"")</x:f>
      </x:c>
      <x:c r="J20" s="45" t="str">
        <x:f>IF(AND(A20&lt;&gt;"",COUNTIFS($A$7:$A$56,A20)=1,COUNTIFS(Auxiliar!$A$9:$A$58,B20)=1,ISNUMBER(C20),C20&gt;=DATE(2000,1,1),C20&lt;=DATE(2100,12,31),ISNUMBER(F20),F20&gt;0,ISNUMBER(G20),G20&gt;=0),ROUND(F20*G20,2),"")</x:f>
      </x:c>
      <x:c r="K20" s="42" t="str">
        <x:f>IF(L20="Válido",I20/F20,"")</x:f>
      </x:c>
      <x:c r="L20" s="60" t="str">
        <x:f>IF(COUNTA(A20:H20)=0,"",IF(A20="","Informe ID",IF(COUNTIFS($A$7:$A$56,A20)&lt;&gt;1,"Duplicado: ID",IF(COUNTIFS(Auxiliar!$A$9:$A$58,B20)&lt;&gt;1,"Conferir veículo",IF(OR(NOT(ISNUMBER(C20)),C20&lt;DATE(2000,1,1),C20&gt;DATE(2100,12,31)),"Conferir data",IF(OR(NOT(ISNUMBER(D20)),NOT(ISNUMBER(E20)),D20&lt;0,E20&lt;=D20),"Conferir hodômetros",IF(OR(NOT(ISNUMBER(F20)),F20&lt;=0),"Conferir litros",IF(OR(NOT(ISNUMBER(G20)),G20&lt;0),"Conferir preço",IF(AND(H20&lt;&gt;"Sim",H20&lt;&gt;"Não"),"Informe intervalo completo",IF(H20="Não","Parcial","Válido"))))))))))</x:f>
      </x:c>
      <x:c r="M20" s="48" t="str">
        <x:f>IF(AND(ISNUMBER(C20),C20&gt;=DATE(2000,1,1)),DATE(YEAR(C20),MONTH(C20),1),"")</x:f>
      </x:c>
      <x:c r="N20" s="42" t="str">
        <x:f>IF(L20="Válido",I20,"")</x:f>
      </x:c>
      <x:c r="O20" s="42" t="str">
        <x:f>IF(L20="Válido",F20,"")</x:f>
      </x:c>
    </x:row>
    <x:row r="21" ht="30" customHeight="1">
      <x:c r="A21" s="25"/>
      <x:c r="B21" s="25"/>
      <x:c r="C21" s="33"/>
      <x:c r="D21" s="36"/>
      <x:c r="E21" s="36"/>
      <x:c r="F21" s="36"/>
      <x:c r="G21" s="39"/>
      <x:c r="H21" s="59"/>
      <x:c r="I21" s="42" t="str">
        <x:f>IF(AND(ISNUMBER(D21),ISNUMBER(E21),D21&gt;=0,E21&gt;D21),E21-D21,"")</x:f>
      </x:c>
      <x:c r="J21" s="45" t="str">
        <x:f>IF(AND(A21&lt;&gt;"",COUNTIFS($A$7:$A$56,A21)=1,COUNTIFS(Auxiliar!$A$9:$A$58,B21)=1,ISNUMBER(C21),C21&gt;=DATE(2000,1,1),C21&lt;=DATE(2100,12,31),ISNUMBER(F21),F21&gt;0,ISNUMBER(G21),G21&gt;=0),ROUND(F21*G21,2),"")</x:f>
      </x:c>
      <x:c r="K21" s="42" t="str">
        <x:f>IF(L21="Válido",I21/F21,"")</x:f>
      </x:c>
      <x:c r="L21" s="60" t="str">
        <x:f>IF(COUNTA(A21:H21)=0,"",IF(A21="","Informe ID",IF(COUNTIFS($A$7:$A$56,A21)&lt;&gt;1,"Duplicado: ID",IF(COUNTIFS(Auxiliar!$A$9:$A$58,B21)&lt;&gt;1,"Conferir veículo",IF(OR(NOT(ISNUMBER(C21)),C21&lt;DATE(2000,1,1),C21&gt;DATE(2100,12,31)),"Conferir data",IF(OR(NOT(ISNUMBER(D21)),NOT(ISNUMBER(E21)),D21&lt;0,E21&lt;=D21),"Conferir hodômetros",IF(OR(NOT(ISNUMBER(F21)),F21&lt;=0),"Conferir litros",IF(OR(NOT(ISNUMBER(G21)),G21&lt;0),"Conferir preço",IF(AND(H21&lt;&gt;"Sim",H21&lt;&gt;"Não"),"Informe intervalo completo",IF(H21="Não","Parcial","Válido"))))))))))</x:f>
      </x:c>
      <x:c r="M21" s="48" t="str">
        <x:f>IF(AND(ISNUMBER(C21),C21&gt;=DATE(2000,1,1)),DATE(YEAR(C21),MONTH(C21),1),"")</x:f>
      </x:c>
      <x:c r="N21" s="42" t="str">
        <x:f>IF(L21="Válido",I21,"")</x:f>
      </x:c>
      <x:c r="O21" s="42" t="str">
        <x:f>IF(L21="Válido",F21,"")</x:f>
      </x:c>
    </x:row>
    <x:row r="22" ht="30" customHeight="1">
      <x:c r="A22" s="25"/>
      <x:c r="B22" s="25"/>
      <x:c r="C22" s="33"/>
      <x:c r="D22" s="36"/>
      <x:c r="E22" s="36"/>
      <x:c r="F22" s="36"/>
      <x:c r="G22" s="39"/>
      <x:c r="H22" s="59"/>
      <x:c r="I22" s="42" t="str">
        <x:f>IF(AND(ISNUMBER(D22),ISNUMBER(E22),D22&gt;=0,E22&gt;D22),E22-D22,"")</x:f>
      </x:c>
      <x:c r="J22" s="45" t="str">
        <x:f>IF(AND(A22&lt;&gt;"",COUNTIFS($A$7:$A$56,A22)=1,COUNTIFS(Auxiliar!$A$9:$A$58,B22)=1,ISNUMBER(C22),C22&gt;=DATE(2000,1,1),C22&lt;=DATE(2100,12,31),ISNUMBER(F22),F22&gt;0,ISNUMBER(G22),G22&gt;=0),ROUND(F22*G22,2),"")</x:f>
      </x:c>
      <x:c r="K22" s="42" t="str">
        <x:f>IF(L22="Válido",I22/F22,"")</x:f>
      </x:c>
      <x:c r="L22" s="60" t="str">
        <x:f>IF(COUNTA(A22:H22)=0,"",IF(A22="","Informe ID",IF(COUNTIFS($A$7:$A$56,A22)&lt;&gt;1,"Duplicado: ID",IF(COUNTIFS(Auxiliar!$A$9:$A$58,B22)&lt;&gt;1,"Conferir veículo",IF(OR(NOT(ISNUMBER(C22)),C22&lt;DATE(2000,1,1),C22&gt;DATE(2100,12,31)),"Conferir data",IF(OR(NOT(ISNUMBER(D22)),NOT(ISNUMBER(E22)),D22&lt;0,E22&lt;=D22),"Conferir hodômetros",IF(OR(NOT(ISNUMBER(F22)),F22&lt;=0),"Conferir litros",IF(OR(NOT(ISNUMBER(G22)),G22&lt;0),"Conferir preço",IF(AND(H22&lt;&gt;"Sim",H22&lt;&gt;"Não"),"Informe intervalo completo",IF(H22="Não","Parcial","Válido"))))))))))</x:f>
      </x:c>
      <x:c r="M22" s="48" t="str">
        <x:f>IF(AND(ISNUMBER(C22),C22&gt;=DATE(2000,1,1)),DATE(YEAR(C22),MONTH(C22),1),"")</x:f>
      </x:c>
      <x:c r="N22" s="42" t="str">
        <x:f>IF(L22="Válido",I22,"")</x:f>
      </x:c>
      <x:c r="O22" s="42" t="str">
        <x:f>IF(L22="Válido",F22,"")</x:f>
      </x:c>
    </x:row>
    <x:row r="23" ht="30" customHeight="1">
      <x:c r="A23" s="25"/>
      <x:c r="B23" s="25"/>
      <x:c r="C23" s="33"/>
      <x:c r="D23" s="36"/>
      <x:c r="E23" s="36"/>
      <x:c r="F23" s="36"/>
      <x:c r="G23" s="39"/>
      <x:c r="H23" s="59"/>
      <x:c r="I23" s="42" t="str">
        <x:f>IF(AND(ISNUMBER(D23),ISNUMBER(E23),D23&gt;=0,E23&gt;D23),E23-D23,"")</x:f>
      </x:c>
      <x:c r="J23" s="45" t="str">
        <x:f>IF(AND(A23&lt;&gt;"",COUNTIFS($A$7:$A$56,A23)=1,COUNTIFS(Auxiliar!$A$9:$A$58,B23)=1,ISNUMBER(C23),C23&gt;=DATE(2000,1,1),C23&lt;=DATE(2100,12,31),ISNUMBER(F23),F23&gt;0,ISNUMBER(G23),G23&gt;=0),ROUND(F23*G23,2),"")</x:f>
      </x:c>
      <x:c r="K23" s="42" t="str">
        <x:f>IF(L23="Válido",I23/F23,"")</x:f>
      </x:c>
      <x:c r="L23" s="60" t="str">
        <x:f>IF(COUNTA(A23:H23)=0,"",IF(A23="","Informe ID",IF(COUNTIFS($A$7:$A$56,A23)&lt;&gt;1,"Duplicado: ID",IF(COUNTIFS(Auxiliar!$A$9:$A$58,B23)&lt;&gt;1,"Conferir veículo",IF(OR(NOT(ISNUMBER(C23)),C23&lt;DATE(2000,1,1),C23&gt;DATE(2100,12,31)),"Conferir data",IF(OR(NOT(ISNUMBER(D23)),NOT(ISNUMBER(E23)),D23&lt;0,E23&lt;=D23),"Conferir hodômetros",IF(OR(NOT(ISNUMBER(F23)),F23&lt;=0),"Conferir litros",IF(OR(NOT(ISNUMBER(G23)),G23&lt;0),"Conferir preço",IF(AND(H23&lt;&gt;"Sim",H23&lt;&gt;"Não"),"Informe intervalo completo",IF(H23="Não","Parcial","Válido"))))))))))</x:f>
      </x:c>
      <x:c r="M23" s="48" t="str">
        <x:f>IF(AND(ISNUMBER(C23),C23&gt;=DATE(2000,1,1)),DATE(YEAR(C23),MONTH(C23),1),"")</x:f>
      </x:c>
      <x:c r="N23" s="42" t="str">
        <x:f>IF(L23="Válido",I23,"")</x:f>
      </x:c>
      <x:c r="O23" s="42" t="str">
        <x:f>IF(L23="Válido",F23,"")</x:f>
      </x:c>
    </x:row>
    <x:row r="24" ht="30" customHeight="1">
      <x:c r="A24" s="25"/>
      <x:c r="B24" s="25"/>
      <x:c r="C24" s="33"/>
      <x:c r="D24" s="36"/>
      <x:c r="E24" s="36"/>
      <x:c r="F24" s="36"/>
      <x:c r="G24" s="39"/>
      <x:c r="H24" s="59"/>
      <x:c r="I24" s="42" t="str">
        <x:f>IF(AND(ISNUMBER(D24),ISNUMBER(E24),D24&gt;=0,E24&gt;D24),E24-D24,"")</x:f>
      </x:c>
      <x:c r="J24" s="45" t="str">
        <x:f>IF(AND(A24&lt;&gt;"",COUNTIFS($A$7:$A$56,A24)=1,COUNTIFS(Auxiliar!$A$9:$A$58,B24)=1,ISNUMBER(C24),C24&gt;=DATE(2000,1,1),C24&lt;=DATE(2100,12,31),ISNUMBER(F24),F24&gt;0,ISNUMBER(G24),G24&gt;=0),ROUND(F24*G24,2),"")</x:f>
      </x:c>
      <x:c r="K24" s="42" t="str">
        <x:f>IF(L24="Válido",I24/F24,"")</x:f>
      </x:c>
      <x:c r="L24" s="60" t="str">
        <x:f>IF(COUNTA(A24:H24)=0,"",IF(A24="","Informe ID",IF(COUNTIFS($A$7:$A$56,A24)&lt;&gt;1,"Duplicado: ID",IF(COUNTIFS(Auxiliar!$A$9:$A$58,B24)&lt;&gt;1,"Conferir veículo",IF(OR(NOT(ISNUMBER(C24)),C24&lt;DATE(2000,1,1),C24&gt;DATE(2100,12,31)),"Conferir data",IF(OR(NOT(ISNUMBER(D24)),NOT(ISNUMBER(E24)),D24&lt;0,E24&lt;=D24),"Conferir hodômetros",IF(OR(NOT(ISNUMBER(F24)),F24&lt;=0),"Conferir litros",IF(OR(NOT(ISNUMBER(G24)),G24&lt;0),"Conferir preço",IF(AND(H24&lt;&gt;"Sim",H24&lt;&gt;"Não"),"Informe intervalo completo",IF(H24="Não","Parcial","Válido"))))))))))</x:f>
      </x:c>
      <x:c r="M24" s="48" t="str">
        <x:f>IF(AND(ISNUMBER(C24),C24&gt;=DATE(2000,1,1)),DATE(YEAR(C24),MONTH(C24),1),"")</x:f>
      </x:c>
      <x:c r="N24" s="42" t="str">
        <x:f>IF(L24="Válido",I24,"")</x:f>
      </x:c>
      <x:c r="O24" s="42" t="str">
        <x:f>IF(L24="Válido",F24,"")</x:f>
      </x:c>
    </x:row>
    <x:row r="25" ht="30" customHeight="1">
      <x:c r="A25" s="25"/>
      <x:c r="B25" s="25"/>
      <x:c r="C25" s="33"/>
      <x:c r="D25" s="36"/>
      <x:c r="E25" s="36"/>
      <x:c r="F25" s="36"/>
      <x:c r="G25" s="39"/>
      <x:c r="H25" s="59"/>
      <x:c r="I25" s="42" t="str">
        <x:f>IF(AND(ISNUMBER(D25),ISNUMBER(E25),D25&gt;=0,E25&gt;D25),E25-D25,"")</x:f>
      </x:c>
      <x:c r="J25" s="45" t="str">
        <x:f>IF(AND(A25&lt;&gt;"",COUNTIFS($A$7:$A$56,A25)=1,COUNTIFS(Auxiliar!$A$9:$A$58,B25)=1,ISNUMBER(C25),C25&gt;=DATE(2000,1,1),C25&lt;=DATE(2100,12,31),ISNUMBER(F25),F25&gt;0,ISNUMBER(G25),G25&gt;=0),ROUND(F25*G25,2),"")</x:f>
      </x:c>
      <x:c r="K25" s="42" t="str">
        <x:f>IF(L25="Válido",I25/F25,"")</x:f>
      </x:c>
      <x:c r="L25" s="60" t="str">
        <x:f>IF(COUNTA(A25:H25)=0,"",IF(A25="","Informe ID",IF(COUNTIFS($A$7:$A$56,A25)&lt;&gt;1,"Duplicado: ID",IF(COUNTIFS(Auxiliar!$A$9:$A$58,B25)&lt;&gt;1,"Conferir veículo",IF(OR(NOT(ISNUMBER(C25)),C25&lt;DATE(2000,1,1),C25&gt;DATE(2100,12,31)),"Conferir data",IF(OR(NOT(ISNUMBER(D25)),NOT(ISNUMBER(E25)),D25&lt;0,E25&lt;=D25),"Conferir hodômetros",IF(OR(NOT(ISNUMBER(F25)),F25&lt;=0),"Conferir litros",IF(OR(NOT(ISNUMBER(G25)),G25&lt;0),"Conferir preço",IF(AND(H25&lt;&gt;"Sim",H25&lt;&gt;"Não"),"Informe intervalo completo",IF(H25="Não","Parcial","Válido"))))))))))</x:f>
      </x:c>
      <x:c r="M25" s="48" t="str">
        <x:f>IF(AND(ISNUMBER(C25),C25&gt;=DATE(2000,1,1)),DATE(YEAR(C25),MONTH(C25),1),"")</x:f>
      </x:c>
      <x:c r="N25" s="42" t="str">
        <x:f>IF(L25="Válido",I25,"")</x:f>
      </x:c>
      <x:c r="O25" s="42" t="str">
        <x:f>IF(L25="Válido",F25,"")</x:f>
      </x:c>
    </x:row>
    <x:row r="26" ht="30" customHeight="1">
      <x:c r="A26" s="25"/>
      <x:c r="B26" s="25"/>
      <x:c r="C26" s="33"/>
      <x:c r="D26" s="36"/>
      <x:c r="E26" s="36"/>
      <x:c r="F26" s="36"/>
      <x:c r="G26" s="39"/>
      <x:c r="H26" s="59"/>
      <x:c r="I26" s="42" t="str">
        <x:f>IF(AND(ISNUMBER(D26),ISNUMBER(E26),D26&gt;=0,E26&gt;D26),E26-D26,"")</x:f>
      </x:c>
      <x:c r="J26" s="45" t="str">
        <x:f>IF(AND(A26&lt;&gt;"",COUNTIFS($A$7:$A$56,A26)=1,COUNTIFS(Auxiliar!$A$9:$A$58,B26)=1,ISNUMBER(C26),C26&gt;=DATE(2000,1,1),C26&lt;=DATE(2100,12,31),ISNUMBER(F26),F26&gt;0,ISNUMBER(G26),G26&gt;=0),ROUND(F26*G26,2),"")</x:f>
      </x:c>
      <x:c r="K26" s="42" t="str">
        <x:f>IF(L26="Válido",I26/F26,"")</x:f>
      </x:c>
      <x:c r="L26" s="60" t="str">
        <x:f>IF(COUNTA(A26:H26)=0,"",IF(A26="","Informe ID",IF(COUNTIFS($A$7:$A$56,A26)&lt;&gt;1,"Duplicado: ID",IF(COUNTIFS(Auxiliar!$A$9:$A$58,B26)&lt;&gt;1,"Conferir veículo",IF(OR(NOT(ISNUMBER(C26)),C26&lt;DATE(2000,1,1),C26&gt;DATE(2100,12,31)),"Conferir data",IF(OR(NOT(ISNUMBER(D26)),NOT(ISNUMBER(E26)),D26&lt;0,E26&lt;=D26),"Conferir hodômetros",IF(OR(NOT(ISNUMBER(F26)),F26&lt;=0),"Conferir litros",IF(OR(NOT(ISNUMBER(G26)),G26&lt;0),"Conferir preço",IF(AND(H26&lt;&gt;"Sim",H26&lt;&gt;"Não"),"Informe intervalo completo",IF(H26="Não","Parcial","Válido"))))))))))</x:f>
      </x:c>
      <x:c r="M26" s="48" t="str">
        <x:f>IF(AND(ISNUMBER(C26),C26&gt;=DATE(2000,1,1)),DATE(YEAR(C26),MONTH(C26),1),"")</x:f>
      </x:c>
      <x:c r="N26" s="42" t="str">
        <x:f>IF(L26="Válido",I26,"")</x:f>
      </x:c>
      <x:c r="O26" s="42" t="str">
        <x:f>IF(L26="Válido",F26,"")</x:f>
      </x:c>
    </x:row>
    <x:row r="27" ht="30" customHeight="1">
      <x:c r="A27" s="25"/>
      <x:c r="B27" s="25"/>
      <x:c r="C27" s="33"/>
      <x:c r="D27" s="36"/>
      <x:c r="E27" s="36"/>
      <x:c r="F27" s="36"/>
      <x:c r="G27" s="39"/>
      <x:c r="H27" s="59"/>
      <x:c r="I27" s="42" t="str">
        <x:f>IF(AND(ISNUMBER(D27),ISNUMBER(E27),D27&gt;=0,E27&gt;D27),E27-D27,"")</x:f>
      </x:c>
      <x:c r="J27" s="45" t="str">
        <x:f>IF(AND(A27&lt;&gt;"",COUNTIFS($A$7:$A$56,A27)=1,COUNTIFS(Auxiliar!$A$9:$A$58,B27)=1,ISNUMBER(C27),C27&gt;=DATE(2000,1,1),C27&lt;=DATE(2100,12,31),ISNUMBER(F27),F27&gt;0,ISNUMBER(G27),G27&gt;=0),ROUND(F27*G27,2),"")</x:f>
      </x:c>
      <x:c r="K27" s="42" t="str">
        <x:f>IF(L27="Válido",I27/F27,"")</x:f>
      </x:c>
      <x:c r="L27" s="60" t="str">
        <x:f>IF(COUNTA(A27:H27)=0,"",IF(A27="","Informe ID",IF(COUNTIFS($A$7:$A$56,A27)&lt;&gt;1,"Duplicado: ID",IF(COUNTIFS(Auxiliar!$A$9:$A$58,B27)&lt;&gt;1,"Conferir veículo",IF(OR(NOT(ISNUMBER(C27)),C27&lt;DATE(2000,1,1),C27&gt;DATE(2100,12,31)),"Conferir data",IF(OR(NOT(ISNUMBER(D27)),NOT(ISNUMBER(E27)),D27&lt;0,E27&lt;=D27),"Conferir hodômetros",IF(OR(NOT(ISNUMBER(F27)),F27&lt;=0),"Conferir litros",IF(OR(NOT(ISNUMBER(G27)),G27&lt;0),"Conferir preço",IF(AND(H27&lt;&gt;"Sim",H27&lt;&gt;"Não"),"Informe intervalo completo",IF(H27="Não","Parcial","Válido"))))))))))</x:f>
      </x:c>
      <x:c r="M27" s="48" t="str">
        <x:f>IF(AND(ISNUMBER(C27),C27&gt;=DATE(2000,1,1)),DATE(YEAR(C27),MONTH(C27),1),"")</x:f>
      </x:c>
      <x:c r="N27" s="42" t="str">
        <x:f>IF(L27="Válido",I27,"")</x:f>
      </x:c>
      <x:c r="O27" s="42" t="str">
        <x:f>IF(L27="Válido",F27,"")</x:f>
      </x:c>
    </x:row>
    <x:row r="28" ht="30" customHeight="1">
      <x:c r="A28" s="25"/>
      <x:c r="B28" s="25"/>
      <x:c r="C28" s="33"/>
      <x:c r="D28" s="36"/>
      <x:c r="E28" s="36"/>
      <x:c r="F28" s="36"/>
      <x:c r="G28" s="39"/>
      <x:c r="H28" s="59"/>
      <x:c r="I28" s="42" t="str">
        <x:f>IF(AND(ISNUMBER(D28),ISNUMBER(E28),D28&gt;=0,E28&gt;D28),E28-D28,"")</x:f>
      </x:c>
      <x:c r="J28" s="45" t="str">
        <x:f>IF(AND(A28&lt;&gt;"",COUNTIFS($A$7:$A$56,A28)=1,COUNTIFS(Auxiliar!$A$9:$A$58,B28)=1,ISNUMBER(C28),C28&gt;=DATE(2000,1,1),C28&lt;=DATE(2100,12,31),ISNUMBER(F28),F28&gt;0,ISNUMBER(G28),G28&gt;=0),ROUND(F28*G28,2),"")</x:f>
      </x:c>
      <x:c r="K28" s="42" t="str">
        <x:f>IF(L28="Válido",I28/F28,"")</x:f>
      </x:c>
      <x:c r="L28" s="60" t="str">
        <x:f>IF(COUNTA(A28:H28)=0,"",IF(A28="","Informe ID",IF(COUNTIFS($A$7:$A$56,A28)&lt;&gt;1,"Duplicado: ID",IF(COUNTIFS(Auxiliar!$A$9:$A$58,B28)&lt;&gt;1,"Conferir veículo",IF(OR(NOT(ISNUMBER(C28)),C28&lt;DATE(2000,1,1),C28&gt;DATE(2100,12,31)),"Conferir data",IF(OR(NOT(ISNUMBER(D28)),NOT(ISNUMBER(E28)),D28&lt;0,E28&lt;=D28),"Conferir hodômetros",IF(OR(NOT(ISNUMBER(F28)),F28&lt;=0),"Conferir litros",IF(OR(NOT(ISNUMBER(G28)),G28&lt;0),"Conferir preço",IF(AND(H28&lt;&gt;"Sim",H28&lt;&gt;"Não"),"Informe intervalo completo",IF(H28="Não","Parcial","Válido"))))))))))</x:f>
      </x:c>
      <x:c r="M28" s="48" t="str">
        <x:f>IF(AND(ISNUMBER(C28),C28&gt;=DATE(2000,1,1)),DATE(YEAR(C28),MONTH(C28),1),"")</x:f>
      </x:c>
      <x:c r="N28" s="42" t="str">
        <x:f>IF(L28="Válido",I28,"")</x:f>
      </x:c>
      <x:c r="O28" s="42" t="str">
        <x:f>IF(L28="Válido",F28,"")</x:f>
      </x:c>
    </x:row>
    <x:row r="29" ht="30" customHeight="1">
      <x:c r="A29" s="25"/>
      <x:c r="B29" s="25"/>
      <x:c r="C29" s="33"/>
      <x:c r="D29" s="36"/>
      <x:c r="E29" s="36"/>
      <x:c r="F29" s="36"/>
      <x:c r="G29" s="39"/>
      <x:c r="H29" s="59"/>
      <x:c r="I29" s="42" t="str">
        <x:f>IF(AND(ISNUMBER(D29),ISNUMBER(E29),D29&gt;=0,E29&gt;D29),E29-D29,"")</x:f>
      </x:c>
      <x:c r="J29" s="45" t="str">
        <x:f>IF(AND(A29&lt;&gt;"",COUNTIFS($A$7:$A$56,A29)=1,COUNTIFS(Auxiliar!$A$9:$A$58,B29)=1,ISNUMBER(C29),C29&gt;=DATE(2000,1,1),C29&lt;=DATE(2100,12,31),ISNUMBER(F29),F29&gt;0,ISNUMBER(G29),G29&gt;=0),ROUND(F29*G29,2),"")</x:f>
      </x:c>
      <x:c r="K29" s="42" t="str">
        <x:f>IF(L29="Válido",I29/F29,"")</x:f>
      </x:c>
      <x:c r="L29" s="60" t="str">
        <x:f>IF(COUNTA(A29:H29)=0,"",IF(A29="","Informe ID",IF(COUNTIFS($A$7:$A$56,A29)&lt;&gt;1,"Duplicado: ID",IF(COUNTIFS(Auxiliar!$A$9:$A$58,B29)&lt;&gt;1,"Conferir veículo",IF(OR(NOT(ISNUMBER(C29)),C29&lt;DATE(2000,1,1),C29&gt;DATE(2100,12,31)),"Conferir data",IF(OR(NOT(ISNUMBER(D29)),NOT(ISNUMBER(E29)),D29&lt;0,E29&lt;=D29),"Conferir hodômetros",IF(OR(NOT(ISNUMBER(F29)),F29&lt;=0),"Conferir litros",IF(OR(NOT(ISNUMBER(G29)),G29&lt;0),"Conferir preço",IF(AND(H29&lt;&gt;"Sim",H29&lt;&gt;"Não"),"Informe intervalo completo",IF(H29="Não","Parcial","Válido"))))))))))</x:f>
      </x:c>
      <x:c r="M29" s="48" t="str">
        <x:f>IF(AND(ISNUMBER(C29),C29&gt;=DATE(2000,1,1)),DATE(YEAR(C29),MONTH(C29),1),"")</x:f>
      </x:c>
      <x:c r="N29" s="42" t="str">
        <x:f>IF(L29="Válido",I29,"")</x:f>
      </x:c>
      <x:c r="O29" s="42" t="str">
        <x:f>IF(L29="Válido",F29,"")</x:f>
      </x:c>
    </x:row>
    <x:row r="30" ht="30" customHeight="1">
      <x:c r="A30" s="25"/>
      <x:c r="B30" s="25"/>
      <x:c r="C30" s="33"/>
      <x:c r="D30" s="36"/>
      <x:c r="E30" s="36"/>
      <x:c r="F30" s="36"/>
      <x:c r="G30" s="39"/>
      <x:c r="H30" s="59"/>
      <x:c r="I30" s="42" t="str">
        <x:f>IF(AND(ISNUMBER(D30),ISNUMBER(E30),D30&gt;=0,E30&gt;D30),E30-D30,"")</x:f>
      </x:c>
      <x:c r="J30" s="45" t="str">
        <x:f>IF(AND(A30&lt;&gt;"",COUNTIFS($A$7:$A$56,A30)=1,COUNTIFS(Auxiliar!$A$9:$A$58,B30)=1,ISNUMBER(C30),C30&gt;=DATE(2000,1,1),C30&lt;=DATE(2100,12,31),ISNUMBER(F30),F30&gt;0,ISNUMBER(G30),G30&gt;=0),ROUND(F30*G30,2),"")</x:f>
      </x:c>
      <x:c r="K30" s="42" t="str">
        <x:f>IF(L30="Válido",I30/F30,"")</x:f>
      </x:c>
      <x:c r="L30" s="60" t="str">
        <x:f>IF(COUNTA(A30:H30)=0,"",IF(A30="","Informe ID",IF(COUNTIFS($A$7:$A$56,A30)&lt;&gt;1,"Duplicado: ID",IF(COUNTIFS(Auxiliar!$A$9:$A$58,B30)&lt;&gt;1,"Conferir veículo",IF(OR(NOT(ISNUMBER(C30)),C30&lt;DATE(2000,1,1),C30&gt;DATE(2100,12,31)),"Conferir data",IF(OR(NOT(ISNUMBER(D30)),NOT(ISNUMBER(E30)),D30&lt;0,E30&lt;=D30),"Conferir hodômetros",IF(OR(NOT(ISNUMBER(F30)),F30&lt;=0),"Conferir litros",IF(OR(NOT(ISNUMBER(G30)),G30&lt;0),"Conferir preço",IF(AND(H30&lt;&gt;"Sim",H30&lt;&gt;"Não"),"Informe intervalo completo",IF(H30="Não","Parcial","Válido"))))))))))</x:f>
      </x:c>
      <x:c r="M30" s="48" t="str">
        <x:f>IF(AND(ISNUMBER(C30),C30&gt;=DATE(2000,1,1)),DATE(YEAR(C30),MONTH(C30),1),"")</x:f>
      </x:c>
      <x:c r="N30" s="42" t="str">
        <x:f>IF(L30="Válido",I30,"")</x:f>
      </x:c>
      <x:c r="O30" s="42" t="str">
        <x:f>IF(L30="Válido",F30,"")</x:f>
      </x:c>
    </x:row>
    <x:row r="31" ht="30" customHeight="1">
      <x:c r="A31" s="25"/>
      <x:c r="B31" s="25"/>
      <x:c r="C31" s="33"/>
      <x:c r="D31" s="36"/>
      <x:c r="E31" s="36"/>
      <x:c r="F31" s="36"/>
      <x:c r="G31" s="39"/>
      <x:c r="H31" s="59"/>
      <x:c r="I31" s="42" t="str">
        <x:f>IF(AND(ISNUMBER(D31),ISNUMBER(E31),D31&gt;=0,E31&gt;D31),E31-D31,"")</x:f>
      </x:c>
      <x:c r="J31" s="45" t="str">
        <x:f>IF(AND(A31&lt;&gt;"",COUNTIFS($A$7:$A$56,A31)=1,COUNTIFS(Auxiliar!$A$9:$A$58,B31)=1,ISNUMBER(C31),C31&gt;=DATE(2000,1,1),C31&lt;=DATE(2100,12,31),ISNUMBER(F31),F31&gt;0,ISNUMBER(G31),G31&gt;=0),ROUND(F31*G31,2),"")</x:f>
      </x:c>
      <x:c r="K31" s="42" t="str">
        <x:f>IF(L31="Válido",I31/F31,"")</x:f>
      </x:c>
      <x:c r="L31" s="60" t="str">
        <x:f>IF(COUNTA(A31:H31)=0,"",IF(A31="","Informe ID",IF(COUNTIFS($A$7:$A$56,A31)&lt;&gt;1,"Duplicado: ID",IF(COUNTIFS(Auxiliar!$A$9:$A$58,B31)&lt;&gt;1,"Conferir veículo",IF(OR(NOT(ISNUMBER(C31)),C31&lt;DATE(2000,1,1),C31&gt;DATE(2100,12,31)),"Conferir data",IF(OR(NOT(ISNUMBER(D31)),NOT(ISNUMBER(E31)),D31&lt;0,E31&lt;=D31),"Conferir hodômetros",IF(OR(NOT(ISNUMBER(F31)),F31&lt;=0),"Conferir litros",IF(OR(NOT(ISNUMBER(G31)),G31&lt;0),"Conferir preço",IF(AND(H31&lt;&gt;"Sim",H31&lt;&gt;"Não"),"Informe intervalo completo",IF(H31="Não","Parcial","Válido"))))))))))</x:f>
      </x:c>
      <x:c r="M31" s="48" t="str">
        <x:f>IF(AND(ISNUMBER(C31),C31&gt;=DATE(2000,1,1)),DATE(YEAR(C31),MONTH(C31),1),"")</x:f>
      </x:c>
      <x:c r="N31" s="42" t="str">
        <x:f>IF(L31="Válido",I31,"")</x:f>
      </x:c>
      <x:c r="O31" s="42" t="str">
        <x:f>IF(L31="Válido",F31,"")</x:f>
      </x:c>
    </x:row>
    <x:row r="32" ht="30" customHeight="1">
      <x:c r="A32" s="25"/>
      <x:c r="B32" s="25"/>
      <x:c r="C32" s="33"/>
      <x:c r="D32" s="36"/>
      <x:c r="E32" s="36"/>
      <x:c r="F32" s="36"/>
      <x:c r="G32" s="39"/>
      <x:c r="H32" s="59"/>
      <x:c r="I32" s="42" t="str">
        <x:f>IF(AND(ISNUMBER(D32),ISNUMBER(E32),D32&gt;=0,E32&gt;D32),E32-D32,"")</x:f>
      </x:c>
      <x:c r="J32" s="45" t="str">
        <x:f>IF(AND(A32&lt;&gt;"",COUNTIFS($A$7:$A$56,A32)=1,COUNTIFS(Auxiliar!$A$9:$A$58,B32)=1,ISNUMBER(C32),C32&gt;=DATE(2000,1,1),C32&lt;=DATE(2100,12,31),ISNUMBER(F32),F32&gt;0,ISNUMBER(G32),G32&gt;=0),ROUND(F32*G32,2),"")</x:f>
      </x:c>
      <x:c r="K32" s="42" t="str">
        <x:f>IF(L32="Válido",I32/F32,"")</x:f>
      </x:c>
      <x:c r="L32" s="60" t="str">
        <x:f>IF(COUNTA(A32:H32)=0,"",IF(A32="","Informe ID",IF(COUNTIFS($A$7:$A$56,A32)&lt;&gt;1,"Duplicado: ID",IF(COUNTIFS(Auxiliar!$A$9:$A$58,B32)&lt;&gt;1,"Conferir veículo",IF(OR(NOT(ISNUMBER(C32)),C32&lt;DATE(2000,1,1),C32&gt;DATE(2100,12,31)),"Conferir data",IF(OR(NOT(ISNUMBER(D32)),NOT(ISNUMBER(E32)),D32&lt;0,E32&lt;=D32),"Conferir hodômetros",IF(OR(NOT(ISNUMBER(F32)),F32&lt;=0),"Conferir litros",IF(OR(NOT(ISNUMBER(G32)),G32&lt;0),"Conferir preço",IF(AND(H32&lt;&gt;"Sim",H32&lt;&gt;"Não"),"Informe intervalo completo",IF(H32="Não","Parcial","Válido"))))))))))</x:f>
      </x:c>
      <x:c r="M32" s="48" t="str">
        <x:f>IF(AND(ISNUMBER(C32),C32&gt;=DATE(2000,1,1)),DATE(YEAR(C32),MONTH(C32),1),"")</x:f>
      </x:c>
      <x:c r="N32" s="42" t="str">
        <x:f>IF(L32="Válido",I32,"")</x:f>
      </x:c>
      <x:c r="O32" s="42" t="str">
        <x:f>IF(L32="Válido",F32,"")</x:f>
      </x:c>
    </x:row>
    <x:row r="33" ht="30" customHeight="1">
      <x:c r="A33" s="25"/>
      <x:c r="B33" s="25"/>
      <x:c r="C33" s="33"/>
      <x:c r="D33" s="36"/>
      <x:c r="E33" s="36"/>
      <x:c r="F33" s="36"/>
      <x:c r="G33" s="39"/>
      <x:c r="H33" s="59"/>
      <x:c r="I33" s="42" t="str">
        <x:f>IF(AND(ISNUMBER(D33),ISNUMBER(E33),D33&gt;=0,E33&gt;D33),E33-D33,"")</x:f>
      </x:c>
      <x:c r="J33" s="45" t="str">
        <x:f>IF(AND(A33&lt;&gt;"",COUNTIFS($A$7:$A$56,A33)=1,COUNTIFS(Auxiliar!$A$9:$A$58,B33)=1,ISNUMBER(C33),C33&gt;=DATE(2000,1,1),C33&lt;=DATE(2100,12,31),ISNUMBER(F33),F33&gt;0,ISNUMBER(G33),G33&gt;=0),ROUND(F33*G33,2),"")</x:f>
      </x:c>
      <x:c r="K33" s="42" t="str">
        <x:f>IF(L33="Válido",I33/F33,"")</x:f>
      </x:c>
      <x:c r="L33" s="60" t="str">
        <x:f>IF(COUNTA(A33:H33)=0,"",IF(A33="","Informe ID",IF(COUNTIFS($A$7:$A$56,A33)&lt;&gt;1,"Duplicado: ID",IF(COUNTIFS(Auxiliar!$A$9:$A$58,B33)&lt;&gt;1,"Conferir veículo",IF(OR(NOT(ISNUMBER(C33)),C33&lt;DATE(2000,1,1),C33&gt;DATE(2100,12,31)),"Conferir data",IF(OR(NOT(ISNUMBER(D33)),NOT(ISNUMBER(E33)),D33&lt;0,E33&lt;=D33),"Conferir hodômetros",IF(OR(NOT(ISNUMBER(F33)),F33&lt;=0),"Conferir litros",IF(OR(NOT(ISNUMBER(G33)),G33&lt;0),"Conferir preço",IF(AND(H33&lt;&gt;"Sim",H33&lt;&gt;"Não"),"Informe intervalo completo",IF(H33="Não","Parcial","Válido"))))))))))</x:f>
      </x:c>
      <x:c r="M33" s="48" t="str">
        <x:f>IF(AND(ISNUMBER(C33),C33&gt;=DATE(2000,1,1)),DATE(YEAR(C33),MONTH(C33),1),"")</x:f>
      </x:c>
      <x:c r="N33" s="42" t="str">
        <x:f>IF(L33="Válido",I33,"")</x:f>
      </x:c>
      <x:c r="O33" s="42" t="str">
        <x:f>IF(L33="Válido",F33,"")</x:f>
      </x:c>
    </x:row>
    <x:row r="34" ht="30" customHeight="1">
      <x:c r="A34" s="25"/>
      <x:c r="B34" s="25"/>
      <x:c r="C34" s="33"/>
      <x:c r="D34" s="36"/>
      <x:c r="E34" s="36"/>
      <x:c r="F34" s="36"/>
      <x:c r="G34" s="39"/>
      <x:c r="H34" s="59"/>
      <x:c r="I34" s="42" t="str">
        <x:f>IF(AND(ISNUMBER(D34),ISNUMBER(E34),D34&gt;=0,E34&gt;D34),E34-D34,"")</x:f>
      </x:c>
      <x:c r="J34" s="45" t="str">
        <x:f>IF(AND(A34&lt;&gt;"",COUNTIFS($A$7:$A$56,A34)=1,COUNTIFS(Auxiliar!$A$9:$A$58,B34)=1,ISNUMBER(C34),C34&gt;=DATE(2000,1,1),C34&lt;=DATE(2100,12,31),ISNUMBER(F34),F34&gt;0,ISNUMBER(G34),G34&gt;=0),ROUND(F34*G34,2),"")</x:f>
      </x:c>
      <x:c r="K34" s="42" t="str">
        <x:f>IF(L34="Válido",I34/F34,"")</x:f>
      </x:c>
      <x:c r="L34" s="60" t="str">
        <x:f>IF(COUNTA(A34:H34)=0,"",IF(A34="","Informe ID",IF(COUNTIFS($A$7:$A$56,A34)&lt;&gt;1,"Duplicado: ID",IF(COUNTIFS(Auxiliar!$A$9:$A$58,B34)&lt;&gt;1,"Conferir veículo",IF(OR(NOT(ISNUMBER(C34)),C34&lt;DATE(2000,1,1),C34&gt;DATE(2100,12,31)),"Conferir data",IF(OR(NOT(ISNUMBER(D34)),NOT(ISNUMBER(E34)),D34&lt;0,E34&lt;=D34),"Conferir hodômetros",IF(OR(NOT(ISNUMBER(F34)),F34&lt;=0),"Conferir litros",IF(OR(NOT(ISNUMBER(G34)),G34&lt;0),"Conferir preço",IF(AND(H34&lt;&gt;"Sim",H34&lt;&gt;"Não"),"Informe intervalo completo",IF(H34="Não","Parcial","Válido"))))))))))</x:f>
      </x:c>
      <x:c r="M34" s="48" t="str">
        <x:f>IF(AND(ISNUMBER(C34),C34&gt;=DATE(2000,1,1)),DATE(YEAR(C34),MONTH(C34),1),"")</x:f>
      </x:c>
      <x:c r="N34" s="42" t="str">
        <x:f>IF(L34="Válido",I34,"")</x:f>
      </x:c>
      <x:c r="O34" s="42" t="str">
        <x:f>IF(L34="Válido",F34,"")</x:f>
      </x:c>
    </x:row>
    <x:row r="35" ht="30" customHeight="1">
      <x:c r="A35" s="25"/>
      <x:c r="B35" s="25"/>
      <x:c r="C35" s="33"/>
      <x:c r="D35" s="36"/>
      <x:c r="E35" s="36"/>
      <x:c r="F35" s="36"/>
      <x:c r="G35" s="39"/>
      <x:c r="H35" s="59"/>
      <x:c r="I35" s="42" t="str">
        <x:f>IF(AND(ISNUMBER(D35),ISNUMBER(E35),D35&gt;=0,E35&gt;D35),E35-D35,"")</x:f>
      </x:c>
      <x:c r="J35" s="45" t="str">
        <x:f>IF(AND(A35&lt;&gt;"",COUNTIFS($A$7:$A$56,A35)=1,COUNTIFS(Auxiliar!$A$9:$A$58,B35)=1,ISNUMBER(C35),C35&gt;=DATE(2000,1,1),C35&lt;=DATE(2100,12,31),ISNUMBER(F35),F35&gt;0,ISNUMBER(G35),G35&gt;=0),ROUND(F35*G35,2),"")</x:f>
      </x:c>
      <x:c r="K35" s="42" t="str">
        <x:f>IF(L35="Válido",I35/F35,"")</x:f>
      </x:c>
      <x:c r="L35" s="60" t="str">
        <x:f>IF(COUNTA(A35:H35)=0,"",IF(A35="","Informe ID",IF(COUNTIFS($A$7:$A$56,A35)&lt;&gt;1,"Duplicado: ID",IF(COUNTIFS(Auxiliar!$A$9:$A$58,B35)&lt;&gt;1,"Conferir veículo",IF(OR(NOT(ISNUMBER(C35)),C35&lt;DATE(2000,1,1),C35&gt;DATE(2100,12,31)),"Conferir data",IF(OR(NOT(ISNUMBER(D35)),NOT(ISNUMBER(E35)),D35&lt;0,E35&lt;=D35),"Conferir hodômetros",IF(OR(NOT(ISNUMBER(F35)),F35&lt;=0),"Conferir litros",IF(OR(NOT(ISNUMBER(G35)),G35&lt;0),"Conferir preço",IF(AND(H35&lt;&gt;"Sim",H35&lt;&gt;"Não"),"Informe intervalo completo",IF(H35="Não","Parcial","Válido"))))))))))</x:f>
      </x:c>
      <x:c r="M35" s="48" t="str">
        <x:f>IF(AND(ISNUMBER(C35),C35&gt;=DATE(2000,1,1)),DATE(YEAR(C35),MONTH(C35),1),"")</x:f>
      </x:c>
      <x:c r="N35" s="42" t="str">
        <x:f>IF(L35="Válido",I35,"")</x:f>
      </x:c>
      <x:c r="O35" s="42" t="str">
        <x:f>IF(L35="Válido",F35,"")</x:f>
      </x:c>
    </x:row>
    <x:row r="36" ht="30" customHeight="1">
      <x:c r="A36" s="25"/>
      <x:c r="B36" s="25"/>
      <x:c r="C36" s="33"/>
      <x:c r="D36" s="36"/>
      <x:c r="E36" s="36"/>
      <x:c r="F36" s="36"/>
      <x:c r="G36" s="39"/>
      <x:c r="H36" s="59"/>
      <x:c r="I36" s="42" t="str">
        <x:f>IF(AND(ISNUMBER(D36),ISNUMBER(E36),D36&gt;=0,E36&gt;D36),E36-D36,"")</x:f>
      </x:c>
      <x:c r="J36" s="45" t="str">
        <x:f>IF(AND(A36&lt;&gt;"",COUNTIFS($A$7:$A$56,A36)=1,COUNTIFS(Auxiliar!$A$9:$A$58,B36)=1,ISNUMBER(C36),C36&gt;=DATE(2000,1,1),C36&lt;=DATE(2100,12,31),ISNUMBER(F36),F36&gt;0,ISNUMBER(G36),G36&gt;=0),ROUND(F36*G36,2),"")</x:f>
      </x:c>
      <x:c r="K36" s="42" t="str">
        <x:f>IF(L36="Válido",I36/F36,"")</x:f>
      </x:c>
      <x:c r="L36" s="60" t="str">
        <x:f>IF(COUNTA(A36:H36)=0,"",IF(A36="","Informe ID",IF(COUNTIFS($A$7:$A$56,A36)&lt;&gt;1,"Duplicado: ID",IF(COUNTIFS(Auxiliar!$A$9:$A$58,B36)&lt;&gt;1,"Conferir veículo",IF(OR(NOT(ISNUMBER(C36)),C36&lt;DATE(2000,1,1),C36&gt;DATE(2100,12,31)),"Conferir data",IF(OR(NOT(ISNUMBER(D36)),NOT(ISNUMBER(E36)),D36&lt;0,E36&lt;=D36),"Conferir hodômetros",IF(OR(NOT(ISNUMBER(F36)),F36&lt;=0),"Conferir litros",IF(OR(NOT(ISNUMBER(G36)),G36&lt;0),"Conferir preço",IF(AND(H36&lt;&gt;"Sim",H36&lt;&gt;"Não"),"Informe intervalo completo",IF(H36="Não","Parcial","Válido"))))))))))</x:f>
      </x:c>
      <x:c r="M36" s="48" t="str">
        <x:f>IF(AND(ISNUMBER(C36),C36&gt;=DATE(2000,1,1)),DATE(YEAR(C36),MONTH(C36),1),"")</x:f>
      </x:c>
      <x:c r="N36" s="42" t="str">
        <x:f>IF(L36="Válido",I36,"")</x:f>
      </x:c>
      <x:c r="O36" s="42" t="str">
        <x:f>IF(L36="Válido",F36,"")</x:f>
      </x:c>
    </x:row>
    <x:row r="37" ht="30" customHeight="1">
      <x:c r="A37" s="25"/>
      <x:c r="B37" s="25"/>
      <x:c r="C37" s="33"/>
      <x:c r="D37" s="36"/>
      <x:c r="E37" s="36"/>
      <x:c r="F37" s="36"/>
      <x:c r="G37" s="39"/>
      <x:c r="H37" s="59"/>
      <x:c r="I37" s="42" t="str">
        <x:f>IF(AND(ISNUMBER(D37),ISNUMBER(E37),D37&gt;=0,E37&gt;D37),E37-D37,"")</x:f>
      </x:c>
      <x:c r="J37" s="45" t="str">
        <x:f>IF(AND(A37&lt;&gt;"",COUNTIFS($A$7:$A$56,A37)=1,COUNTIFS(Auxiliar!$A$9:$A$58,B37)=1,ISNUMBER(C37),C37&gt;=DATE(2000,1,1),C37&lt;=DATE(2100,12,31),ISNUMBER(F37),F37&gt;0,ISNUMBER(G37),G37&gt;=0),ROUND(F37*G37,2),"")</x:f>
      </x:c>
      <x:c r="K37" s="42" t="str">
        <x:f>IF(L37="Válido",I37/F37,"")</x:f>
      </x:c>
      <x:c r="L37" s="60" t="str">
        <x:f>IF(COUNTA(A37:H37)=0,"",IF(A37="","Informe ID",IF(COUNTIFS($A$7:$A$56,A37)&lt;&gt;1,"Duplicado: ID",IF(COUNTIFS(Auxiliar!$A$9:$A$58,B37)&lt;&gt;1,"Conferir veículo",IF(OR(NOT(ISNUMBER(C37)),C37&lt;DATE(2000,1,1),C37&gt;DATE(2100,12,31)),"Conferir data",IF(OR(NOT(ISNUMBER(D37)),NOT(ISNUMBER(E37)),D37&lt;0,E37&lt;=D37),"Conferir hodômetros",IF(OR(NOT(ISNUMBER(F37)),F37&lt;=0),"Conferir litros",IF(OR(NOT(ISNUMBER(G37)),G37&lt;0),"Conferir preço",IF(AND(H37&lt;&gt;"Sim",H37&lt;&gt;"Não"),"Informe intervalo completo",IF(H37="Não","Parcial","Válido"))))))))))</x:f>
      </x:c>
      <x:c r="M37" s="48" t="str">
        <x:f>IF(AND(ISNUMBER(C37),C37&gt;=DATE(2000,1,1)),DATE(YEAR(C37),MONTH(C37),1),"")</x:f>
      </x:c>
      <x:c r="N37" s="42" t="str">
        <x:f>IF(L37="Válido",I37,"")</x:f>
      </x:c>
      <x:c r="O37" s="42" t="str">
        <x:f>IF(L37="Válido",F37,"")</x:f>
      </x:c>
    </x:row>
    <x:row r="38" ht="30" customHeight="1">
      <x:c r="A38" s="25"/>
      <x:c r="B38" s="25"/>
      <x:c r="C38" s="33"/>
      <x:c r="D38" s="36"/>
      <x:c r="E38" s="36"/>
      <x:c r="F38" s="36"/>
      <x:c r="G38" s="39"/>
      <x:c r="H38" s="59"/>
      <x:c r="I38" s="42" t="str">
        <x:f>IF(AND(ISNUMBER(D38),ISNUMBER(E38),D38&gt;=0,E38&gt;D38),E38-D38,"")</x:f>
      </x:c>
      <x:c r="J38" s="45" t="str">
        <x:f>IF(AND(A38&lt;&gt;"",COUNTIFS($A$7:$A$56,A38)=1,COUNTIFS(Auxiliar!$A$9:$A$58,B38)=1,ISNUMBER(C38),C38&gt;=DATE(2000,1,1),C38&lt;=DATE(2100,12,31),ISNUMBER(F38),F38&gt;0,ISNUMBER(G38),G38&gt;=0),ROUND(F38*G38,2),"")</x:f>
      </x:c>
      <x:c r="K38" s="42" t="str">
        <x:f>IF(L38="Válido",I38/F38,"")</x:f>
      </x:c>
      <x:c r="L38" s="60" t="str">
        <x:f>IF(COUNTA(A38:H38)=0,"",IF(A38="","Informe ID",IF(COUNTIFS($A$7:$A$56,A38)&lt;&gt;1,"Duplicado: ID",IF(COUNTIFS(Auxiliar!$A$9:$A$58,B38)&lt;&gt;1,"Conferir veículo",IF(OR(NOT(ISNUMBER(C38)),C38&lt;DATE(2000,1,1),C38&gt;DATE(2100,12,31)),"Conferir data",IF(OR(NOT(ISNUMBER(D38)),NOT(ISNUMBER(E38)),D38&lt;0,E38&lt;=D38),"Conferir hodômetros",IF(OR(NOT(ISNUMBER(F38)),F38&lt;=0),"Conferir litros",IF(OR(NOT(ISNUMBER(G38)),G38&lt;0),"Conferir preço",IF(AND(H38&lt;&gt;"Sim",H38&lt;&gt;"Não"),"Informe intervalo completo",IF(H38="Não","Parcial","Válido"))))))))))</x:f>
      </x:c>
      <x:c r="M38" s="48" t="str">
        <x:f>IF(AND(ISNUMBER(C38),C38&gt;=DATE(2000,1,1)),DATE(YEAR(C38),MONTH(C38),1),"")</x:f>
      </x:c>
      <x:c r="N38" s="42" t="str">
        <x:f>IF(L38="Válido",I38,"")</x:f>
      </x:c>
      <x:c r="O38" s="42" t="str">
        <x:f>IF(L38="Válido",F38,"")</x:f>
      </x:c>
    </x:row>
    <x:row r="39" ht="30" customHeight="1">
      <x:c r="A39" s="25"/>
      <x:c r="B39" s="25"/>
      <x:c r="C39" s="33"/>
      <x:c r="D39" s="36"/>
      <x:c r="E39" s="36"/>
      <x:c r="F39" s="36"/>
      <x:c r="G39" s="39"/>
      <x:c r="H39" s="59"/>
      <x:c r="I39" s="42" t="str">
        <x:f>IF(AND(ISNUMBER(D39),ISNUMBER(E39),D39&gt;=0,E39&gt;D39),E39-D39,"")</x:f>
      </x:c>
      <x:c r="J39" s="45" t="str">
        <x:f>IF(AND(A39&lt;&gt;"",COUNTIFS($A$7:$A$56,A39)=1,COUNTIFS(Auxiliar!$A$9:$A$58,B39)=1,ISNUMBER(C39),C39&gt;=DATE(2000,1,1),C39&lt;=DATE(2100,12,31),ISNUMBER(F39),F39&gt;0,ISNUMBER(G39),G39&gt;=0),ROUND(F39*G39,2),"")</x:f>
      </x:c>
      <x:c r="K39" s="42" t="str">
        <x:f>IF(L39="Válido",I39/F39,"")</x:f>
      </x:c>
      <x:c r="L39" s="60" t="str">
        <x:f>IF(COUNTA(A39:H39)=0,"",IF(A39="","Informe ID",IF(COUNTIFS($A$7:$A$56,A39)&lt;&gt;1,"Duplicado: ID",IF(COUNTIFS(Auxiliar!$A$9:$A$58,B39)&lt;&gt;1,"Conferir veículo",IF(OR(NOT(ISNUMBER(C39)),C39&lt;DATE(2000,1,1),C39&gt;DATE(2100,12,31)),"Conferir data",IF(OR(NOT(ISNUMBER(D39)),NOT(ISNUMBER(E39)),D39&lt;0,E39&lt;=D39),"Conferir hodômetros",IF(OR(NOT(ISNUMBER(F39)),F39&lt;=0),"Conferir litros",IF(OR(NOT(ISNUMBER(G39)),G39&lt;0),"Conferir preço",IF(AND(H39&lt;&gt;"Sim",H39&lt;&gt;"Não"),"Informe intervalo completo",IF(H39="Não","Parcial","Válido"))))))))))</x:f>
      </x:c>
      <x:c r="M39" s="48" t="str">
        <x:f>IF(AND(ISNUMBER(C39),C39&gt;=DATE(2000,1,1)),DATE(YEAR(C39),MONTH(C39),1),"")</x:f>
      </x:c>
      <x:c r="N39" s="42" t="str">
        <x:f>IF(L39="Válido",I39,"")</x:f>
      </x:c>
      <x:c r="O39" s="42" t="str">
        <x:f>IF(L39="Válido",F39,"")</x:f>
      </x:c>
    </x:row>
    <x:row r="40" ht="30" customHeight="1">
      <x:c r="A40" s="25"/>
      <x:c r="B40" s="25"/>
      <x:c r="C40" s="33"/>
      <x:c r="D40" s="36"/>
      <x:c r="E40" s="36"/>
      <x:c r="F40" s="36"/>
      <x:c r="G40" s="39"/>
      <x:c r="H40" s="59"/>
      <x:c r="I40" s="42" t="str">
        <x:f>IF(AND(ISNUMBER(D40),ISNUMBER(E40),D40&gt;=0,E40&gt;D40),E40-D40,"")</x:f>
      </x:c>
      <x:c r="J40" s="45" t="str">
        <x:f>IF(AND(A40&lt;&gt;"",COUNTIFS($A$7:$A$56,A40)=1,COUNTIFS(Auxiliar!$A$9:$A$58,B40)=1,ISNUMBER(C40),C40&gt;=DATE(2000,1,1),C40&lt;=DATE(2100,12,31),ISNUMBER(F40),F40&gt;0,ISNUMBER(G40),G40&gt;=0),ROUND(F40*G40,2),"")</x:f>
      </x:c>
      <x:c r="K40" s="42" t="str">
        <x:f>IF(L40="Válido",I40/F40,"")</x:f>
      </x:c>
      <x:c r="L40" s="60" t="str">
        <x:f>IF(COUNTA(A40:H40)=0,"",IF(A40="","Informe ID",IF(COUNTIFS($A$7:$A$56,A40)&lt;&gt;1,"Duplicado: ID",IF(COUNTIFS(Auxiliar!$A$9:$A$58,B40)&lt;&gt;1,"Conferir veículo",IF(OR(NOT(ISNUMBER(C40)),C40&lt;DATE(2000,1,1),C40&gt;DATE(2100,12,31)),"Conferir data",IF(OR(NOT(ISNUMBER(D40)),NOT(ISNUMBER(E40)),D40&lt;0,E40&lt;=D40),"Conferir hodômetros",IF(OR(NOT(ISNUMBER(F40)),F40&lt;=0),"Conferir litros",IF(OR(NOT(ISNUMBER(G40)),G40&lt;0),"Conferir preço",IF(AND(H40&lt;&gt;"Sim",H40&lt;&gt;"Não"),"Informe intervalo completo",IF(H40="Não","Parcial","Válido"))))))))))</x:f>
      </x:c>
      <x:c r="M40" s="48" t="str">
        <x:f>IF(AND(ISNUMBER(C40),C40&gt;=DATE(2000,1,1)),DATE(YEAR(C40),MONTH(C40),1),"")</x:f>
      </x:c>
      <x:c r="N40" s="42" t="str">
        <x:f>IF(L40="Válido",I40,"")</x:f>
      </x:c>
      <x:c r="O40" s="42" t="str">
        <x:f>IF(L40="Válido",F40,"")</x:f>
      </x:c>
    </x:row>
    <x:row r="41" ht="30" customHeight="1">
      <x:c r="A41" s="25"/>
      <x:c r="B41" s="25"/>
      <x:c r="C41" s="33"/>
      <x:c r="D41" s="36"/>
      <x:c r="E41" s="36"/>
      <x:c r="F41" s="36"/>
      <x:c r="G41" s="39"/>
      <x:c r="H41" s="59"/>
      <x:c r="I41" s="42" t="str">
        <x:f>IF(AND(ISNUMBER(D41),ISNUMBER(E41),D41&gt;=0,E41&gt;D41),E41-D41,"")</x:f>
      </x:c>
      <x:c r="J41" s="45" t="str">
        <x:f>IF(AND(A41&lt;&gt;"",COUNTIFS($A$7:$A$56,A41)=1,COUNTIFS(Auxiliar!$A$9:$A$58,B41)=1,ISNUMBER(C41),C41&gt;=DATE(2000,1,1),C41&lt;=DATE(2100,12,31),ISNUMBER(F41),F41&gt;0,ISNUMBER(G41),G41&gt;=0),ROUND(F41*G41,2),"")</x:f>
      </x:c>
      <x:c r="K41" s="42" t="str">
        <x:f>IF(L41="Válido",I41/F41,"")</x:f>
      </x:c>
      <x:c r="L41" s="60" t="str">
        <x:f>IF(COUNTA(A41:H41)=0,"",IF(A41="","Informe ID",IF(COUNTIFS($A$7:$A$56,A41)&lt;&gt;1,"Duplicado: ID",IF(COUNTIFS(Auxiliar!$A$9:$A$58,B41)&lt;&gt;1,"Conferir veículo",IF(OR(NOT(ISNUMBER(C41)),C41&lt;DATE(2000,1,1),C41&gt;DATE(2100,12,31)),"Conferir data",IF(OR(NOT(ISNUMBER(D41)),NOT(ISNUMBER(E41)),D41&lt;0,E41&lt;=D41),"Conferir hodômetros",IF(OR(NOT(ISNUMBER(F41)),F41&lt;=0),"Conferir litros",IF(OR(NOT(ISNUMBER(G41)),G41&lt;0),"Conferir preço",IF(AND(H41&lt;&gt;"Sim",H41&lt;&gt;"Não"),"Informe intervalo completo",IF(H41="Não","Parcial","Válido"))))))))))</x:f>
      </x:c>
      <x:c r="M41" s="48" t="str">
        <x:f>IF(AND(ISNUMBER(C41),C41&gt;=DATE(2000,1,1)),DATE(YEAR(C41),MONTH(C41),1),"")</x:f>
      </x:c>
      <x:c r="N41" s="42" t="str">
        <x:f>IF(L41="Válido",I41,"")</x:f>
      </x:c>
      <x:c r="O41" s="42" t="str">
        <x:f>IF(L41="Válido",F41,"")</x:f>
      </x:c>
    </x:row>
    <x:row r="42" ht="30" customHeight="1">
      <x:c r="A42" s="25"/>
      <x:c r="B42" s="25"/>
      <x:c r="C42" s="33"/>
      <x:c r="D42" s="36"/>
      <x:c r="E42" s="36"/>
      <x:c r="F42" s="36"/>
      <x:c r="G42" s="39"/>
      <x:c r="H42" s="59"/>
      <x:c r="I42" s="42" t="str">
        <x:f>IF(AND(ISNUMBER(D42),ISNUMBER(E42),D42&gt;=0,E42&gt;D42),E42-D42,"")</x:f>
      </x:c>
      <x:c r="J42" s="45" t="str">
        <x:f>IF(AND(A42&lt;&gt;"",COUNTIFS($A$7:$A$56,A42)=1,COUNTIFS(Auxiliar!$A$9:$A$58,B42)=1,ISNUMBER(C42),C42&gt;=DATE(2000,1,1),C42&lt;=DATE(2100,12,31),ISNUMBER(F42),F42&gt;0,ISNUMBER(G42),G42&gt;=0),ROUND(F42*G42,2),"")</x:f>
      </x:c>
      <x:c r="K42" s="42" t="str">
        <x:f>IF(L42="Válido",I42/F42,"")</x:f>
      </x:c>
      <x:c r="L42" s="60" t="str">
        <x:f>IF(COUNTA(A42:H42)=0,"",IF(A42="","Informe ID",IF(COUNTIFS($A$7:$A$56,A42)&lt;&gt;1,"Duplicado: ID",IF(COUNTIFS(Auxiliar!$A$9:$A$58,B42)&lt;&gt;1,"Conferir veículo",IF(OR(NOT(ISNUMBER(C42)),C42&lt;DATE(2000,1,1),C42&gt;DATE(2100,12,31)),"Conferir data",IF(OR(NOT(ISNUMBER(D42)),NOT(ISNUMBER(E42)),D42&lt;0,E42&lt;=D42),"Conferir hodômetros",IF(OR(NOT(ISNUMBER(F42)),F42&lt;=0),"Conferir litros",IF(OR(NOT(ISNUMBER(G42)),G42&lt;0),"Conferir preço",IF(AND(H42&lt;&gt;"Sim",H42&lt;&gt;"Não"),"Informe intervalo completo",IF(H42="Não","Parcial","Válido"))))))))))</x:f>
      </x:c>
      <x:c r="M42" s="48" t="str">
        <x:f>IF(AND(ISNUMBER(C42),C42&gt;=DATE(2000,1,1)),DATE(YEAR(C42),MONTH(C42),1),"")</x:f>
      </x:c>
      <x:c r="N42" s="42" t="str">
        <x:f>IF(L42="Válido",I42,"")</x:f>
      </x:c>
      <x:c r="O42" s="42" t="str">
        <x:f>IF(L42="Válido",F42,"")</x:f>
      </x:c>
    </x:row>
    <x:row r="43" ht="30" customHeight="1">
      <x:c r="A43" s="25"/>
      <x:c r="B43" s="25"/>
      <x:c r="C43" s="33"/>
      <x:c r="D43" s="36"/>
      <x:c r="E43" s="36"/>
      <x:c r="F43" s="36"/>
      <x:c r="G43" s="39"/>
      <x:c r="H43" s="59"/>
      <x:c r="I43" s="42" t="str">
        <x:f>IF(AND(ISNUMBER(D43),ISNUMBER(E43),D43&gt;=0,E43&gt;D43),E43-D43,"")</x:f>
      </x:c>
      <x:c r="J43" s="45" t="str">
        <x:f>IF(AND(A43&lt;&gt;"",COUNTIFS($A$7:$A$56,A43)=1,COUNTIFS(Auxiliar!$A$9:$A$58,B43)=1,ISNUMBER(C43),C43&gt;=DATE(2000,1,1),C43&lt;=DATE(2100,12,31),ISNUMBER(F43),F43&gt;0,ISNUMBER(G43),G43&gt;=0),ROUND(F43*G43,2),"")</x:f>
      </x:c>
      <x:c r="K43" s="42" t="str">
        <x:f>IF(L43="Válido",I43/F43,"")</x:f>
      </x:c>
      <x:c r="L43" s="60" t="str">
        <x:f>IF(COUNTA(A43:H43)=0,"",IF(A43="","Informe ID",IF(COUNTIFS($A$7:$A$56,A43)&lt;&gt;1,"Duplicado: ID",IF(COUNTIFS(Auxiliar!$A$9:$A$58,B43)&lt;&gt;1,"Conferir veículo",IF(OR(NOT(ISNUMBER(C43)),C43&lt;DATE(2000,1,1),C43&gt;DATE(2100,12,31)),"Conferir data",IF(OR(NOT(ISNUMBER(D43)),NOT(ISNUMBER(E43)),D43&lt;0,E43&lt;=D43),"Conferir hodômetros",IF(OR(NOT(ISNUMBER(F43)),F43&lt;=0),"Conferir litros",IF(OR(NOT(ISNUMBER(G43)),G43&lt;0),"Conferir preço",IF(AND(H43&lt;&gt;"Sim",H43&lt;&gt;"Não"),"Informe intervalo completo",IF(H43="Não","Parcial","Válido"))))))))))</x:f>
      </x:c>
      <x:c r="M43" s="48" t="str">
        <x:f>IF(AND(ISNUMBER(C43),C43&gt;=DATE(2000,1,1)),DATE(YEAR(C43),MONTH(C43),1),"")</x:f>
      </x:c>
      <x:c r="N43" s="42" t="str">
        <x:f>IF(L43="Válido",I43,"")</x:f>
      </x:c>
      <x:c r="O43" s="42" t="str">
        <x:f>IF(L43="Válido",F43,"")</x:f>
      </x:c>
    </x:row>
    <x:row r="44" ht="30" customHeight="1">
      <x:c r="A44" s="25"/>
      <x:c r="B44" s="25"/>
      <x:c r="C44" s="33"/>
      <x:c r="D44" s="36"/>
      <x:c r="E44" s="36"/>
      <x:c r="F44" s="36"/>
      <x:c r="G44" s="39"/>
      <x:c r="H44" s="59"/>
      <x:c r="I44" s="42" t="str">
        <x:f>IF(AND(ISNUMBER(D44),ISNUMBER(E44),D44&gt;=0,E44&gt;D44),E44-D44,"")</x:f>
      </x:c>
      <x:c r="J44" s="45" t="str">
        <x:f>IF(AND(A44&lt;&gt;"",COUNTIFS($A$7:$A$56,A44)=1,COUNTIFS(Auxiliar!$A$9:$A$58,B44)=1,ISNUMBER(C44),C44&gt;=DATE(2000,1,1),C44&lt;=DATE(2100,12,31),ISNUMBER(F44),F44&gt;0,ISNUMBER(G44),G44&gt;=0),ROUND(F44*G44,2),"")</x:f>
      </x:c>
      <x:c r="K44" s="42" t="str">
        <x:f>IF(L44="Válido",I44/F44,"")</x:f>
      </x:c>
      <x:c r="L44" s="60" t="str">
        <x:f>IF(COUNTA(A44:H44)=0,"",IF(A44="","Informe ID",IF(COUNTIFS($A$7:$A$56,A44)&lt;&gt;1,"Duplicado: ID",IF(COUNTIFS(Auxiliar!$A$9:$A$58,B44)&lt;&gt;1,"Conferir veículo",IF(OR(NOT(ISNUMBER(C44)),C44&lt;DATE(2000,1,1),C44&gt;DATE(2100,12,31)),"Conferir data",IF(OR(NOT(ISNUMBER(D44)),NOT(ISNUMBER(E44)),D44&lt;0,E44&lt;=D44),"Conferir hodômetros",IF(OR(NOT(ISNUMBER(F44)),F44&lt;=0),"Conferir litros",IF(OR(NOT(ISNUMBER(G44)),G44&lt;0),"Conferir preço",IF(AND(H44&lt;&gt;"Sim",H44&lt;&gt;"Não"),"Informe intervalo completo",IF(H44="Não","Parcial","Válido"))))))))))</x:f>
      </x:c>
      <x:c r="M44" s="48" t="str">
        <x:f>IF(AND(ISNUMBER(C44),C44&gt;=DATE(2000,1,1)),DATE(YEAR(C44),MONTH(C44),1),"")</x:f>
      </x:c>
      <x:c r="N44" s="42" t="str">
        <x:f>IF(L44="Válido",I44,"")</x:f>
      </x:c>
      <x:c r="O44" s="42" t="str">
        <x:f>IF(L44="Válido",F44,"")</x:f>
      </x:c>
    </x:row>
    <x:row r="45" ht="30" customHeight="1">
      <x:c r="A45" s="25"/>
      <x:c r="B45" s="25"/>
      <x:c r="C45" s="33"/>
      <x:c r="D45" s="36"/>
      <x:c r="E45" s="36"/>
      <x:c r="F45" s="36"/>
      <x:c r="G45" s="39"/>
      <x:c r="H45" s="59"/>
      <x:c r="I45" s="42" t="str">
        <x:f>IF(AND(ISNUMBER(D45),ISNUMBER(E45),D45&gt;=0,E45&gt;D45),E45-D45,"")</x:f>
      </x:c>
      <x:c r="J45" s="45" t="str">
        <x:f>IF(AND(A45&lt;&gt;"",COUNTIFS($A$7:$A$56,A45)=1,COUNTIFS(Auxiliar!$A$9:$A$58,B45)=1,ISNUMBER(C45),C45&gt;=DATE(2000,1,1),C45&lt;=DATE(2100,12,31),ISNUMBER(F45),F45&gt;0,ISNUMBER(G45),G45&gt;=0),ROUND(F45*G45,2),"")</x:f>
      </x:c>
      <x:c r="K45" s="42" t="str">
        <x:f>IF(L45="Válido",I45/F45,"")</x:f>
      </x:c>
      <x:c r="L45" s="60" t="str">
        <x:f>IF(COUNTA(A45:H45)=0,"",IF(A45="","Informe ID",IF(COUNTIFS($A$7:$A$56,A45)&lt;&gt;1,"Duplicado: ID",IF(COUNTIFS(Auxiliar!$A$9:$A$58,B45)&lt;&gt;1,"Conferir veículo",IF(OR(NOT(ISNUMBER(C45)),C45&lt;DATE(2000,1,1),C45&gt;DATE(2100,12,31)),"Conferir data",IF(OR(NOT(ISNUMBER(D45)),NOT(ISNUMBER(E45)),D45&lt;0,E45&lt;=D45),"Conferir hodômetros",IF(OR(NOT(ISNUMBER(F45)),F45&lt;=0),"Conferir litros",IF(OR(NOT(ISNUMBER(G45)),G45&lt;0),"Conferir preço",IF(AND(H45&lt;&gt;"Sim",H45&lt;&gt;"Não"),"Informe intervalo completo",IF(H45="Não","Parcial","Válido"))))))))))</x:f>
      </x:c>
      <x:c r="M45" s="48" t="str">
        <x:f>IF(AND(ISNUMBER(C45),C45&gt;=DATE(2000,1,1)),DATE(YEAR(C45),MONTH(C45),1),"")</x:f>
      </x:c>
      <x:c r="N45" s="42" t="str">
        <x:f>IF(L45="Válido",I45,"")</x:f>
      </x:c>
      <x:c r="O45" s="42" t="str">
        <x:f>IF(L45="Válido",F45,"")</x:f>
      </x:c>
    </x:row>
    <x:row r="46" ht="30" customHeight="1">
      <x:c r="A46" s="25"/>
      <x:c r="B46" s="25"/>
      <x:c r="C46" s="33"/>
      <x:c r="D46" s="36"/>
      <x:c r="E46" s="36"/>
      <x:c r="F46" s="36"/>
      <x:c r="G46" s="39"/>
      <x:c r="H46" s="59"/>
      <x:c r="I46" s="42" t="str">
        <x:f>IF(AND(ISNUMBER(D46),ISNUMBER(E46),D46&gt;=0,E46&gt;D46),E46-D46,"")</x:f>
      </x:c>
      <x:c r="J46" s="45" t="str">
        <x:f>IF(AND(A46&lt;&gt;"",COUNTIFS($A$7:$A$56,A46)=1,COUNTIFS(Auxiliar!$A$9:$A$58,B46)=1,ISNUMBER(C46),C46&gt;=DATE(2000,1,1),C46&lt;=DATE(2100,12,31),ISNUMBER(F46),F46&gt;0,ISNUMBER(G46),G46&gt;=0),ROUND(F46*G46,2),"")</x:f>
      </x:c>
      <x:c r="K46" s="42" t="str">
        <x:f>IF(L46="Válido",I46/F46,"")</x:f>
      </x:c>
      <x:c r="L46" s="60" t="str">
        <x:f>IF(COUNTA(A46:H46)=0,"",IF(A46="","Informe ID",IF(COUNTIFS($A$7:$A$56,A46)&lt;&gt;1,"Duplicado: ID",IF(COUNTIFS(Auxiliar!$A$9:$A$58,B46)&lt;&gt;1,"Conferir veículo",IF(OR(NOT(ISNUMBER(C46)),C46&lt;DATE(2000,1,1),C46&gt;DATE(2100,12,31)),"Conferir data",IF(OR(NOT(ISNUMBER(D46)),NOT(ISNUMBER(E46)),D46&lt;0,E46&lt;=D46),"Conferir hodômetros",IF(OR(NOT(ISNUMBER(F46)),F46&lt;=0),"Conferir litros",IF(OR(NOT(ISNUMBER(G46)),G46&lt;0),"Conferir preço",IF(AND(H46&lt;&gt;"Sim",H46&lt;&gt;"Não"),"Informe intervalo completo",IF(H46="Não","Parcial","Válido"))))))))))</x:f>
      </x:c>
      <x:c r="M46" s="48" t="str">
        <x:f>IF(AND(ISNUMBER(C46),C46&gt;=DATE(2000,1,1)),DATE(YEAR(C46),MONTH(C46),1),"")</x:f>
      </x:c>
      <x:c r="N46" s="42" t="str">
        <x:f>IF(L46="Válido",I46,"")</x:f>
      </x:c>
      <x:c r="O46" s="42" t="str">
        <x:f>IF(L46="Válido",F46,"")</x:f>
      </x:c>
    </x:row>
    <x:row r="47" ht="30" customHeight="1">
      <x:c r="A47" s="25"/>
      <x:c r="B47" s="25"/>
      <x:c r="C47" s="33"/>
      <x:c r="D47" s="36"/>
      <x:c r="E47" s="36"/>
      <x:c r="F47" s="36"/>
      <x:c r="G47" s="39"/>
      <x:c r="H47" s="59"/>
      <x:c r="I47" s="42" t="str">
        <x:f>IF(AND(ISNUMBER(D47),ISNUMBER(E47),D47&gt;=0,E47&gt;D47),E47-D47,"")</x:f>
      </x:c>
      <x:c r="J47" s="45" t="str">
        <x:f>IF(AND(A47&lt;&gt;"",COUNTIFS($A$7:$A$56,A47)=1,COUNTIFS(Auxiliar!$A$9:$A$58,B47)=1,ISNUMBER(C47),C47&gt;=DATE(2000,1,1),C47&lt;=DATE(2100,12,31),ISNUMBER(F47),F47&gt;0,ISNUMBER(G47),G47&gt;=0),ROUND(F47*G47,2),"")</x:f>
      </x:c>
      <x:c r="K47" s="42" t="str">
        <x:f>IF(L47="Válido",I47/F47,"")</x:f>
      </x:c>
      <x:c r="L47" s="60" t="str">
        <x:f>IF(COUNTA(A47:H47)=0,"",IF(A47="","Informe ID",IF(COUNTIFS($A$7:$A$56,A47)&lt;&gt;1,"Duplicado: ID",IF(COUNTIFS(Auxiliar!$A$9:$A$58,B47)&lt;&gt;1,"Conferir veículo",IF(OR(NOT(ISNUMBER(C47)),C47&lt;DATE(2000,1,1),C47&gt;DATE(2100,12,31)),"Conferir data",IF(OR(NOT(ISNUMBER(D47)),NOT(ISNUMBER(E47)),D47&lt;0,E47&lt;=D47),"Conferir hodômetros",IF(OR(NOT(ISNUMBER(F47)),F47&lt;=0),"Conferir litros",IF(OR(NOT(ISNUMBER(G47)),G47&lt;0),"Conferir preço",IF(AND(H47&lt;&gt;"Sim",H47&lt;&gt;"Não"),"Informe intervalo completo",IF(H47="Não","Parcial","Válido"))))))))))</x:f>
      </x:c>
      <x:c r="M47" s="48" t="str">
        <x:f>IF(AND(ISNUMBER(C47),C47&gt;=DATE(2000,1,1)),DATE(YEAR(C47),MONTH(C47),1),"")</x:f>
      </x:c>
      <x:c r="N47" s="42" t="str">
        <x:f>IF(L47="Válido",I47,"")</x:f>
      </x:c>
      <x:c r="O47" s="42" t="str">
        <x:f>IF(L47="Válido",F47,"")</x:f>
      </x:c>
    </x:row>
    <x:row r="48" ht="30" customHeight="1">
      <x:c r="A48" s="25"/>
      <x:c r="B48" s="25"/>
      <x:c r="C48" s="33"/>
      <x:c r="D48" s="36"/>
      <x:c r="E48" s="36"/>
      <x:c r="F48" s="36"/>
      <x:c r="G48" s="39"/>
      <x:c r="H48" s="59"/>
      <x:c r="I48" s="42" t="str">
        <x:f>IF(AND(ISNUMBER(D48),ISNUMBER(E48),D48&gt;=0,E48&gt;D48),E48-D48,"")</x:f>
      </x:c>
      <x:c r="J48" s="45" t="str">
        <x:f>IF(AND(A48&lt;&gt;"",COUNTIFS($A$7:$A$56,A48)=1,COUNTIFS(Auxiliar!$A$9:$A$58,B48)=1,ISNUMBER(C48),C48&gt;=DATE(2000,1,1),C48&lt;=DATE(2100,12,31),ISNUMBER(F48),F48&gt;0,ISNUMBER(G48),G48&gt;=0),ROUND(F48*G48,2),"")</x:f>
      </x:c>
      <x:c r="K48" s="42" t="str">
        <x:f>IF(L48="Válido",I48/F48,"")</x:f>
      </x:c>
      <x:c r="L48" s="60" t="str">
        <x:f>IF(COUNTA(A48:H48)=0,"",IF(A48="","Informe ID",IF(COUNTIFS($A$7:$A$56,A48)&lt;&gt;1,"Duplicado: ID",IF(COUNTIFS(Auxiliar!$A$9:$A$58,B48)&lt;&gt;1,"Conferir veículo",IF(OR(NOT(ISNUMBER(C48)),C48&lt;DATE(2000,1,1),C48&gt;DATE(2100,12,31)),"Conferir data",IF(OR(NOT(ISNUMBER(D48)),NOT(ISNUMBER(E48)),D48&lt;0,E48&lt;=D48),"Conferir hodômetros",IF(OR(NOT(ISNUMBER(F48)),F48&lt;=0),"Conferir litros",IF(OR(NOT(ISNUMBER(G48)),G48&lt;0),"Conferir preço",IF(AND(H48&lt;&gt;"Sim",H48&lt;&gt;"Não"),"Informe intervalo completo",IF(H48="Não","Parcial","Válido"))))))))))</x:f>
      </x:c>
      <x:c r="M48" s="48" t="str">
        <x:f>IF(AND(ISNUMBER(C48),C48&gt;=DATE(2000,1,1)),DATE(YEAR(C48),MONTH(C48),1),"")</x:f>
      </x:c>
      <x:c r="N48" s="42" t="str">
        <x:f>IF(L48="Válido",I48,"")</x:f>
      </x:c>
      <x:c r="O48" s="42" t="str">
        <x:f>IF(L48="Válido",F48,"")</x:f>
      </x:c>
    </x:row>
    <x:row r="49" ht="30" customHeight="1">
      <x:c r="A49" s="25"/>
      <x:c r="B49" s="25"/>
      <x:c r="C49" s="33"/>
      <x:c r="D49" s="36"/>
      <x:c r="E49" s="36"/>
      <x:c r="F49" s="36"/>
      <x:c r="G49" s="39"/>
      <x:c r="H49" s="59"/>
      <x:c r="I49" s="42" t="str">
        <x:f>IF(AND(ISNUMBER(D49),ISNUMBER(E49),D49&gt;=0,E49&gt;D49),E49-D49,"")</x:f>
      </x:c>
      <x:c r="J49" s="45" t="str">
        <x:f>IF(AND(A49&lt;&gt;"",COUNTIFS($A$7:$A$56,A49)=1,COUNTIFS(Auxiliar!$A$9:$A$58,B49)=1,ISNUMBER(C49),C49&gt;=DATE(2000,1,1),C49&lt;=DATE(2100,12,31),ISNUMBER(F49),F49&gt;0,ISNUMBER(G49),G49&gt;=0),ROUND(F49*G49,2),"")</x:f>
      </x:c>
      <x:c r="K49" s="42" t="str">
        <x:f>IF(L49="Válido",I49/F49,"")</x:f>
      </x:c>
      <x:c r="L49" s="60" t="str">
        <x:f>IF(COUNTA(A49:H49)=0,"",IF(A49="","Informe ID",IF(COUNTIFS($A$7:$A$56,A49)&lt;&gt;1,"Duplicado: ID",IF(COUNTIFS(Auxiliar!$A$9:$A$58,B49)&lt;&gt;1,"Conferir veículo",IF(OR(NOT(ISNUMBER(C49)),C49&lt;DATE(2000,1,1),C49&gt;DATE(2100,12,31)),"Conferir data",IF(OR(NOT(ISNUMBER(D49)),NOT(ISNUMBER(E49)),D49&lt;0,E49&lt;=D49),"Conferir hodômetros",IF(OR(NOT(ISNUMBER(F49)),F49&lt;=0),"Conferir litros",IF(OR(NOT(ISNUMBER(G49)),G49&lt;0),"Conferir preço",IF(AND(H49&lt;&gt;"Sim",H49&lt;&gt;"Não"),"Informe intervalo completo",IF(H49="Não","Parcial","Válido"))))))))))</x:f>
      </x:c>
      <x:c r="M49" s="48" t="str">
        <x:f>IF(AND(ISNUMBER(C49),C49&gt;=DATE(2000,1,1)),DATE(YEAR(C49),MONTH(C49),1),"")</x:f>
      </x:c>
      <x:c r="N49" s="42" t="str">
        <x:f>IF(L49="Válido",I49,"")</x:f>
      </x:c>
      <x:c r="O49" s="42" t="str">
        <x:f>IF(L49="Válido",F49,"")</x:f>
      </x:c>
    </x:row>
    <x:row r="50" ht="30" customHeight="1">
      <x:c r="A50" s="25"/>
      <x:c r="B50" s="25"/>
      <x:c r="C50" s="33"/>
      <x:c r="D50" s="36"/>
      <x:c r="E50" s="36"/>
      <x:c r="F50" s="36"/>
      <x:c r="G50" s="39"/>
      <x:c r="H50" s="59"/>
      <x:c r="I50" s="42" t="str">
        <x:f>IF(AND(ISNUMBER(D50),ISNUMBER(E50),D50&gt;=0,E50&gt;D50),E50-D50,"")</x:f>
      </x:c>
      <x:c r="J50" s="45" t="str">
        <x:f>IF(AND(A50&lt;&gt;"",COUNTIFS($A$7:$A$56,A50)=1,COUNTIFS(Auxiliar!$A$9:$A$58,B50)=1,ISNUMBER(C50),C50&gt;=DATE(2000,1,1),C50&lt;=DATE(2100,12,31),ISNUMBER(F50),F50&gt;0,ISNUMBER(G50),G50&gt;=0),ROUND(F50*G50,2),"")</x:f>
      </x:c>
      <x:c r="K50" s="42" t="str">
        <x:f>IF(L50="Válido",I50/F50,"")</x:f>
      </x:c>
      <x:c r="L50" s="60" t="str">
        <x:f>IF(COUNTA(A50:H50)=0,"",IF(A50="","Informe ID",IF(COUNTIFS($A$7:$A$56,A50)&lt;&gt;1,"Duplicado: ID",IF(COUNTIFS(Auxiliar!$A$9:$A$58,B50)&lt;&gt;1,"Conferir veículo",IF(OR(NOT(ISNUMBER(C50)),C50&lt;DATE(2000,1,1),C50&gt;DATE(2100,12,31)),"Conferir data",IF(OR(NOT(ISNUMBER(D50)),NOT(ISNUMBER(E50)),D50&lt;0,E50&lt;=D50),"Conferir hodômetros",IF(OR(NOT(ISNUMBER(F50)),F50&lt;=0),"Conferir litros",IF(OR(NOT(ISNUMBER(G50)),G50&lt;0),"Conferir preço",IF(AND(H50&lt;&gt;"Sim",H50&lt;&gt;"Não"),"Informe intervalo completo",IF(H50="Não","Parcial","Válido"))))))))))</x:f>
      </x:c>
      <x:c r="M50" s="48" t="str">
        <x:f>IF(AND(ISNUMBER(C50),C50&gt;=DATE(2000,1,1)),DATE(YEAR(C50),MONTH(C50),1),"")</x:f>
      </x:c>
      <x:c r="N50" s="42" t="str">
        <x:f>IF(L50="Válido",I50,"")</x:f>
      </x:c>
      <x:c r="O50" s="42" t="str">
        <x:f>IF(L50="Válido",F50,"")</x:f>
      </x:c>
    </x:row>
    <x:row r="51" ht="30" customHeight="1">
      <x:c r="A51" s="25"/>
      <x:c r="B51" s="25"/>
      <x:c r="C51" s="33"/>
      <x:c r="D51" s="36"/>
      <x:c r="E51" s="36"/>
      <x:c r="F51" s="36"/>
      <x:c r="G51" s="39"/>
      <x:c r="H51" s="59"/>
      <x:c r="I51" s="42" t="str">
        <x:f>IF(AND(ISNUMBER(D51),ISNUMBER(E51),D51&gt;=0,E51&gt;D51),E51-D51,"")</x:f>
      </x:c>
      <x:c r="J51" s="45" t="str">
        <x:f>IF(AND(A51&lt;&gt;"",COUNTIFS($A$7:$A$56,A51)=1,COUNTIFS(Auxiliar!$A$9:$A$58,B51)=1,ISNUMBER(C51),C51&gt;=DATE(2000,1,1),C51&lt;=DATE(2100,12,31),ISNUMBER(F51),F51&gt;0,ISNUMBER(G51),G51&gt;=0),ROUND(F51*G51,2),"")</x:f>
      </x:c>
      <x:c r="K51" s="42" t="str">
        <x:f>IF(L51="Válido",I51/F51,"")</x:f>
      </x:c>
      <x:c r="L51" s="60" t="str">
        <x:f>IF(COUNTA(A51:H51)=0,"",IF(A51="","Informe ID",IF(COUNTIFS($A$7:$A$56,A51)&lt;&gt;1,"Duplicado: ID",IF(COUNTIFS(Auxiliar!$A$9:$A$58,B51)&lt;&gt;1,"Conferir veículo",IF(OR(NOT(ISNUMBER(C51)),C51&lt;DATE(2000,1,1),C51&gt;DATE(2100,12,31)),"Conferir data",IF(OR(NOT(ISNUMBER(D51)),NOT(ISNUMBER(E51)),D51&lt;0,E51&lt;=D51),"Conferir hodômetros",IF(OR(NOT(ISNUMBER(F51)),F51&lt;=0),"Conferir litros",IF(OR(NOT(ISNUMBER(G51)),G51&lt;0),"Conferir preço",IF(AND(H51&lt;&gt;"Sim",H51&lt;&gt;"Não"),"Informe intervalo completo",IF(H51="Não","Parcial","Válido"))))))))))</x:f>
      </x:c>
      <x:c r="M51" s="48" t="str">
        <x:f>IF(AND(ISNUMBER(C51),C51&gt;=DATE(2000,1,1)),DATE(YEAR(C51),MONTH(C51),1),"")</x:f>
      </x:c>
      <x:c r="N51" s="42" t="str">
        <x:f>IF(L51="Válido",I51,"")</x:f>
      </x:c>
      <x:c r="O51" s="42" t="str">
        <x:f>IF(L51="Válido",F51,"")</x:f>
      </x:c>
    </x:row>
    <x:row r="52" ht="30" customHeight="1">
      <x:c r="A52" s="25"/>
      <x:c r="B52" s="25"/>
      <x:c r="C52" s="33"/>
      <x:c r="D52" s="36"/>
      <x:c r="E52" s="36"/>
      <x:c r="F52" s="36"/>
      <x:c r="G52" s="39"/>
      <x:c r="H52" s="59"/>
      <x:c r="I52" s="42" t="str">
        <x:f>IF(AND(ISNUMBER(D52),ISNUMBER(E52),D52&gt;=0,E52&gt;D52),E52-D52,"")</x:f>
      </x:c>
      <x:c r="J52" s="45" t="str">
        <x:f>IF(AND(A52&lt;&gt;"",COUNTIFS($A$7:$A$56,A52)=1,COUNTIFS(Auxiliar!$A$9:$A$58,B52)=1,ISNUMBER(C52),C52&gt;=DATE(2000,1,1),C52&lt;=DATE(2100,12,31),ISNUMBER(F52),F52&gt;0,ISNUMBER(G52),G52&gt;=0),ROUND(F52*G52,2),"")</x:f>
      </x:c>
      <x:c r="K52" s="42" t="str">
        <x:f>IF(L52="Válido",I52/F52,"")</x:f>
      </x:c>
      <x:c r="L52" s="60" t="str">
        <x:f>IF(COUNTA(A52:H52)=0,"",IF(A52="","Informe ID",IF(COUNTIFS($A$7:$A$56,A52)&lt;&gt;1,"Duplicado: ID",IF(COUNTIFS(Auxiliar!$A$9:$A$58,B52)&lt;&gt;1,"Conferir veículo",IF(OR(NOT(ISNUMBER(C52)),C52&lt;DATE(2000,1,1),C52&gt;DATE(2100,12,31)),"Conferir data",IF(OR(NOT(ISNUMBER(D52)),NOT(ISNUMBER(E52)),D52&lt;0,E52&lt;=D52),"Conferir hodômetros",IF(OR(NOT(ISNUMBER(F52)),F52&lt;=0),"Conferir litros",IF(OR(NOT(ISNUMBER(G52)),G52&lt;0),"Conferir preço",IF(AND(H52&lt;&gt;"Sim",H52&lt;&gt;"Não"),"Informe intervalo completo",IF(H52="Não","Parcial","Válido"))))))))))</x:f>
      </x:c>
      <x:c r="M52" s="48" t="str">
        <x:f>IF(AND(ISNUMBER(C52),C52&gt;=DATE(2000,1,1)),DATE(YEAR(C52),MONTH(C52),1),"")</x:f>
      </x:c>
      <x:c r="N52" s="42" t="str">
        <x:f>IF(L52="Válido",I52,"")</x:f>
      </x:c>
      <x:c r="O52" s="42" t="str">
        <x:f>IF(L52="Válido",F52,"")</x:f>
      </x:c>
    </x:row>
    <x:row r="53" ht="30" customHeight="1">
      <x:c r="A53" s="25"/>
      <x:c r="B53" s="25"/>
      <x:c r="C53" s="33"/>
      <x:c r="D53" s="36"/>
      <x:c r="E53" s="36"/>
      <x:c r="F53" s="36"/>
      <x:c r="G53" s="39"/>
      <x:c r="H53" s="59"/>
      <x:c r="I53" s="42" t="str">
        <x:f>IF(AND(ISNUMBER(D53),ISNUMBER(E53),D53&gt;=0,E53&gt;D53),E53-D53,"")</x:f>
      </x:c>
      <x:c r="J53" s="45" t="str">
        <x:f>IF(AND(A53&lt;&gt;"",COUNTIFS($A$7:$A$56,A53)=1,COUNTIFS(Auxiliar!$A$9:$A$58,B53)=1,ISNUMBER(C53),C53&gt;=DATE(2000,1,1),C53&lt;=DATE(2100,12,31),ISNUMBER(F53),F53&gt;0,ISNUMBER(G53),G53&gt;=0),ROUND(F53*G53,2),"")</x:f>
      </x:c>
      <x:c r="K53" s="42" t="str">
        <x:f>IF(L53="Válido",I53/F53,"")</x:f>
      </x:c>
      <x:c r="L53" s="60" t="str">
        <x:f>IF(COUNTA(A53:H53)=0,"",IF(A53="","Informe ID",IF(COUNTIFS($A$7:$A$56,A53)&lt;&gt;1,"Duplicado: ID",IF(COUNTIFS(Auxiliar!$A$9:$A$58,B53)&lt;&gt;1,"Conferir veículo",IF(OR(NOT(ISNUMBER(C53)),C53&lt;DATE(2000,1,1),C53&gt;DATE(2100,12,31)),"Conferir data",IF(OR(NOT(ISNUMBER(D53)),NOT(ISNUMBER(E53)),D53&lt;0,E53&lt;=D53),"Conferir hodômetros",IF(OR(NOT(ISNUMBER(F53)),F53&lt;=0),"Conferir litros",IF(OR(NOT(ISNUMBER(G53)),G53&lt;0),"Conferir preço",IF(AND(H53&lt;&gt;"Sim",H53&lt;&gt;"Não"),"Informe intervalo completo",IF(H53="Não","Parcial","Válido"))))))))))</x:f>
      </x:c>
      <x:c r="M53" s="48" t="str">
        <x:f>IF(AND(ISNUMBER(C53),C53&gt;=DATE(2000,1,1)),DATE(YEAR(C53),MONTH(C53),1),"")</x:f>
      </x:c>
      <x:c r="N53" s="42" t="str">
        <x:f>IF(L53="Válido",I53,"")</x:f>
      </x:c>
      <x:c r="O53" s="42" t="str">
        <x:f>IF(L53="Válido",F53,"")</x:f>
      </x:c>
    </x:row>
    <x:row r="54" ht="30" customHeight="1">
      <x:c r="A54" s="25"/>
      <x:c r="B54" s="25"/>
      <x:c r="C54" s="33"/>
      <x:c r="D54" s="36"/>
      <x:c r="E54" s="36"/>
      <x:c r="F54" s="36"/>
      <x:c r="G54" s="39"/>
      <x:c r="H54" s="59"/>
      <x:c r="I54" s="42" t="str">
        <x:f>IF(AND(ISNUMBER(D54),ISNUMBER(E54),D54&gt;=0,E54&gt;D54),E54-D54,"")</x:f>
      </x:c>
      <x:c r="J54" s="45" t="str">
        <x:f>IF(AND(A54&lt;&gt;"",COUNTIFS($A$7:$A$56,A54)=1,COUNTIFS(Auxiliar!$A$9:$A$58,B54)=1,ISNUMBER(C54),C54&gt;=DATE(2000,1,1),C54&lt;=DATE(2100,12,31),ISNUMBER(F54),F54&gt;0,ISNUMBER(G54),G54&gt;=0),ROUND(F54*G54,2),"")</x:f>
      </x:c>
      <x:c r="K54" s="42" t="str">
        <x:f>IF(L54="Válido",I54/F54,"")</x:f>
      </x:c>
      <x:c r="L54" s="60" t="str">
        <x:f>IF(COUNTA(A54:H54)=0,"",IF(A54="","Informe ID",IF(COUNTIFS($A$7:$A$56,A54)&lt;&gt;1,"Duplicado: ID",IF(COUNTIFS(Auxiliar!$A$9:$A$58,B54)&lt;&gt;1,"Conferir veículo",IF(OR(NOT(ISNUMBER(C54)),C54&lt;DATE(2000,1,1),C54&gt;DATE(2100,12,31)),"Conferir data",IF(OR(NOT(ISNUMBER(D54)),NOT(ISNUMBER(E54)),D54&lt;0,E54&lt;=D54),"Conferir hodômetros",IF(OR(NOT(ISNUMBER(F54)),F54&lt;=0),"Conferir litros",IF(OR(NOT(ISNUMBER(G54)),G54&lt;0),"Conferir preço",IF(AND(H54&lt;&gt;"Sim",H54&lt;&gt;"Não"),"Informe intervalo completo",IF(H54="Não","Parcial","Válido"))))))))))</x:f>
      </x:c>
      <x:c r="M54" s="48" t="str">
        <x:f>IF(AND(ISNUMBER(C54),C54&gt;=DATE(2000,1,1)),DATE(YEAR(C54),MONTH(C54),1),"")</x:f>
      </x:c>
      <x:c r="N54" s="42" t="str">
        <x:f>IF(L54="Válido",I54,"")</x:f>
      </x:c>
      <x:c r="O54" s="42" t="str">
        <x:f>IF(L54="Válido",F54,"")</x:f>
      </x:c>
    </x:row>
    <x:row r="55" ht="30" customHeight="1">
      <x:c r="A55" s="25"/>
      <x:c r="B55" s="25"/>
      <x:c r="C55" s="33"/>
      <x:c r="D55" s="36"/>
      <x:c r="E55" s="36"/>
      <x:c r="F55" s="36"/>
      <x:c r="G55" s="39"/>
      <x:c r="H55" s="59"/>
      <x:c r="I55" s="42" t="str">
        <x:f>IF(AND(ISNUMBER(D55),ISNUMBER(E55),D55&gt;=0,E55&gt;D55),E55-D55,"")</x:f>
      </x:c>
      <x:c r="J55" s="45" t="str">
        <x:f>IF(AND(A55&lt;&gt;"",COUNTIFS($A$7:$A$56,A55)=1,COUNTIFS(Auxiliar!$A$9:$A$58,B55)=1,ISNUMBER(C55),C55&gt;=DATE(2000,1,1),C55&lt;=DATE(2100,12,31),ISNUMBER(F55),F55&gt;0,ISNUMBER(G55),G55&gt;=0),ROUND(F55*G55,2),"")</x:f>
      </x:c>
      <x:c r="K55" s="42" t="str">
        <x:f>IF(L55="Válido",I55/F55,"")</x:f>
      </x:c>
      <x:c r="L55" s="60" t="str">
        <x:f>IF(COUNTA(A55:H55)=0,"",IF(A55="","Informe ID",IF(COUNTIFS($A$7:$A$56,A55)&lt;&gt;1,"Duplicado: ID",IF(COUNTIFS(Auxiliar!$A$9:$A$58,B55)&lt;&gt;1,"Conferir veículo",IF(OR(NOT(ISNUMBER(C55)),C55&lt;DATE(2000,1,1),C55&gt;DATE(2100,12,31)),"Conferir data",IF(OR(NOT(ISNUMBER(D55)),NOT(ISNUMBER(E55)),D55&lt;0,E55&lt;=D55),"Conferir hodômetros",IF(OR(NOT(ISNUMBER(F55)),F55&lt;=0),"Conferir litros",IF(OR(NOT(ISNUMBER(G55)),G55&lt;0),"Conferir preço",IF(AND(H55&lt;&gt;"Sim",H55&lt;&gt;"Não"),"Informe intervalo completo",IF(H55="Não","Parcial","Válido"))))))))))</x:f>
      </x:c>
      <x:c r="M55" s="48" t="str">
        <x:f>IF(AND(ISNUMBER(C55),C55&gt;=DATE(2000,1,1)),DATE(YEAR(C55),MONTH(C55),1),"")</x:f>
      </x:c>
      <x:c r="N55" s="42" t="str">
        <x:f>IF(L55="Válido",I55,"")</x:f>
      </x:c>
      <x:c r="O55" s="42" t="str">
        <x:f>IF(L55="Válido",F55,"")</x:f>
      </x:c>
    </x:row>
    <x:row r="56" ht="30" customHeight="1">
      <x:c r="A56" s="27"/>
      <x:c r="B56" s="27"/>
      <x:c r="C56" s="34"/>
      <x:c r="D56" s="37"/>
      <x:c r="E56" s="37"/>
      <x:c r="F56" s="37"/>
      <x:c r="G56" s="40"/>
      <x:c r="H56" s="61"/>
      <x:c r="I56" s="43" t="str">
        <x:f>IF(AND(ISNUMBER(D56),ISNUMBER(E56),D56&gt;=0,E56&gt;D56),E56-D56,"")</x:f>
      </x:c>
      <x:c r="J56" s="46" t="str">
        <x:f>IF(AND(A56&lt;&gt;"",COUNTIFS($A$7:$A$56,A56)=1,COUNTIFS(Auxiliar!$A$9:$A$58,B56)=1,ISNUMBER(C56),C56&gt;=DATE(2000,1,1),C56&lt;=DATE(2100,12,31),ISNUMBER(F56),F56&gt;0,ISNUMBER(G56),G56&gt;=0),ROUND(F56*G56,2),"")</x:f>
      </x:c>
      <x:c r="K56" s="43" t="str">
        <x:f>IF(L56="Válido",I56/F56,"")</x:f>
      </x:c>
      <x:c r="L56" s="62" t="str">
        <x:f>IF(COUNTA(A56:H56)=0,"",IF(A56="","Informe ID",IF(COUNTIFS($A$7:$A$56,A56)&lt;&gt;1,"Duplicado: ID",IF(COUNTIFS(Auxiliar!$A$9:$A$58,B56)&lt;&gt;1,"Conferir veículo",IF(OR(NOT(ISNUMBER(C56)),C56&lt;DATE(2000,1,1),C56&gt;DATE(2100,12,31)),"Conferir data",IF(OR(NOT(ISNUMBER(D56)),NOT(ISNUMBER(E56)),D56&lt;0,E56&lt;=D56),"Conferir hodômetros",IF(OR(NOT(ISNUMBER(F56)),F56&lt;=0),"Conferir litros",IF(OR(NOT(ISNUMBER(G56)),G56&lt;0),"Conferir preço",IF(AND(H56&lt;&gt;"Sim",H56&lt;&gt;"Não"),"Informe intervalo completo",IF(H56="Não","Parcial","Válido"))))))))))</x:f>
      </x:c>
      <x:c r="M56" s="49" t="str">
        <x:f>IF(AND(ISNUMBER(C56),C56&gt;=DATE(2000,1,1)),DATE(YEAR(C56),MONTH(C56),1),"")</x:f>
      </x:c>
      <x:c r="N56" s="43" t="str">
        <x:f>IF(L56="Válido",I56,"")</x:f>
      </x:c>
      <x:c r="O56" s="43" t="str">
        <x:f>IF(L56="Válido",F56,"")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</x:row>
  </x:sheetData>
  <x:conditionalFormatting sqref="L7:L56">
    <x:cfRule type="containsText" dxfId="0" priority="1" operator="containsText" text="Conferir"/>
    <x:cfRule type="containsText" dxfId="1" priority="2" operator="containsText" text="Informe"/>
    <x:cfRule type="containsText" dxfId="2" priority="3" operator="containsText" text="Duplicado"/>
    <x:cfRule type="containsText" dxfId="3" priority="4" operator="containsText" text="Em atraso"/>
  </x:conditionalFormatting>
  <x:dataValidations count="4">
    <x:dataValidation type="list" sqref="B7:B56">
      <x:formula1>Auxiliar!$A$9:$A$58</x:formula1>
    </x:dataValidation>
    <x:dataValidation type="date" operator="between" sqref="C7:C56">
      <x:formula1>36526</x:formula1>
      <x:formula2>73415</x:formula2>
    </x:dataValidation>
    <x:dataValidation type="decimal" operator="between" sqref="D7:G56">
      <x:formula1>0</x:formula1>
      <x:formula2>100000000</x:formula2>
    </x:dataValidation>
    <x:dataValidation type="list" sqref="H7:H5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dad4402d3a48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0" hidden="0" customWidth="1"/>
    <x:col min="5" max="5" width="70" hidden="0" customWidth="1"/>
    <x:col min="6" max="6" width="22" hidden="0" customWidth="1"/>
    <x:col min="7" max="7" width="28" hidden="0" customWidth="1"/>
    <x:col min="8" max="8" width="16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Ocorrências e conferências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18" t="str">
        <x:v>Preencha A:F. Registre uma ocorrência por linha e atualize sua situação após a conferência.</x:v>
      </x:c>
      <x:c r="B4" s="3"/>
      <x:c r="C4" s="3"/>
      <x:c r="D4" s="3"/>
      <x:c r="E4" s="3"/>
      <x:c r="F4" s="3"/>
      <x:c r="G4" s="3"/>
      <x:c r="H4" s="3"/>
    </x:row>
    <x:row r="5" ht="25" customHeight="1">
      <x:c r="A5" s="3"/>
      <x:c r="B5" s="3"/>
      <x:c r="C5" s="3"/>
      <x:c r="D5" s="3"/>
      <x:c r="E5" s="3"/>
      <x:c r="F5" s="3"/>
      <x:c r="G5" s="3"/>
      <x:c r="H5" s="3"/>
    </x:row>
    <x:row r="6" ht="46" customHeight="1">
      <x:c r="A6" s="16" t="str">
        <x:v>ID</x:v>
      </x:c>
      <x:c r="B6" s="21" t="str">
        <x:v>Veículo</x:v>
      </x:c>
      <x:c r="C6" s="21" t="str">
        <x:v>Data</x:v>
      </x:c>
      <x:c r="D6" s="21" t="str">
        <x:v>Tipo</x:v>
      </x:c>
      <x:c r="E6" s="21" t="str">
        <x:v>Descrição</x:v>
      </x:c>
      <x:c r="F6" s="21" t="str">
        <x:v>Situação</x:v>
      </x:c>
      <x:c r="G6" s="21" t="str">
        <x:v>Conferência</x:v>
      </x:c>
      <x:c r="H6" s="17" t="str">
        <x:v>Mês</x:v>
      </x:c>
    </x:row>
    <x:row r="7" ht="42" customHeight="1">
      <x:c r="A7" s="23" t="str">
        <x:v>FR-O01</x:v>
      </x:c>
      <x:c r="B7" s="23" t="str">
        <x:v>FR-01</x:v>
      </x:c>
      <x:c r="C7" s="32" t="n">
        <x:v>46280</x:v>
      </x:c>
      <x:c r="D7" s="23" t="str">
        <x:v>Abastecimento</x:v>
      </x:c>
      <x:c r="E7" s="50" t="str">
        <x:v>Conferir dois comprovantes registrados no mesmo dia.</x:v>
      </x:c>
      <x:c r="F7" s="23" t="str">
        <x:v>Pendente</x:v>
      </x:c>
      <x:c r="G7" s="24" t="str">
        <x:f>IF(COUNTA(A7:F7)=0,"",IF(A7="","Informe ID",IF(COUNTIFS($A$7:$A$56,A7)&lt;&gt;1,"Duplicado: ID",IF(COUNTIFS(Auxiliar!$A$9:$A$58,B7)&lt;&gt;1,"Conferir veículo",IF(OR(NOT(ISNUMBER(C7)),C7&lt;DATE(2000,1,1),C7&gt;DATE(2100,12,31)),"Conferir data",IF(OR(D7="",E7=""),"Informe tipo e descrição",IF(AND(F7&lt;&gt;"Pendente",F7&lt;&gt;"Em conferência",F7&lt;&gt;"Conferido"),"Conferir situação","Válido")))))))</x:f>
        <x:v>Válido</x:v>
      </x:c>
      <x:c r="H7" s="47" t="n">
        <x:f>IF(AND(ISNUMBER(C7),C7&gt;=DATE(2000,1,1)),DATE(YEAR(C7),MONTH(C7),1),"")</x:f>
        <x:v>46266</x:v>
      </x:c>
    </x:row>
    <x:row r="8" ht="42" customHeight="1">
      <x:c r="A8" s="25" t="str">
        <x:v>FR-O02</x:v>
      </x:c>
      <x:c r="B8" s="25" t="str">
        <x:v>FR-02</x:v>
      </x:c>
      <x:c r="C8" s="33" t="n">
        <x:v>46279</x:v>
      </x:c>
      <x:c r="D8" s="25" t="str">
        <x:v>Hodômetro</x:v>
      </x:c>
      <x:c r="E8" s="51" t="str">
        <x:v>Conferir a sequência das leituras informadas.</x:v>
      </x:c>
      <x:c r="F8" s="25" t="str">
        <x:v>Pendente</x:v>
      </x:c>
      <x:c r="G8" s="26" t="str">
        <x:f>IF(COUNTA(A8:F8)=0,"",IF(A8="","Informe ID",IF(COUNTIFS($A$7:$A$56,A8)&lt;&gt;1,"Duplicado: ID",IF(COUNTIFS(Auxiliar!$A$9:$A$58,B8)&lt;&gt;1,"Conferir veículo",IF(OR(NOT(ISNUMBER(C8)),C8&lt;DATE(2000,1,1),C8&gt;DATE(2100,12,31)),"Conferir data",IF(OR(D8="",E8=""),"Informe tipo e descrição",IF(AND(F8&lt;&gt;"Pendente",F8&lt;&gt;"Em conferência",F8&lt;&gt;"Conferido"),"Conferir situação","Válido")))))))</x:f>
        <x:v>Válido</x:v>
      </x:c>
      <x:c r="H8" s="48" t="n">
        <x:f>IF(AND(ISNUMBER(C8),C8&gt;=DATE(2000,1,1)),DATE(YEAR(C8),MONTH(C8),1),"")</x:f>
        <x:v>46266</x:v>
      </x:c>
    </x:row>
    <x:row r="9" ht="42" customHeight="1">
      <x:c r="A9" s="25" t="str">
        <x:v>FR-O03</x:v>
      </x:c>
      <x:c r="B9" s="25" t="str">
        <x:v>FR-03</x:v>
      </x:c>
      <x:c r="C9" s="33" t="n">
        <x:v>46277</x:v>
      </x:c>
      <x:c r="D9" s="25" t="str">
        <x:v>Documento</x:v>
      </x:c>
      <x:c r="E9" s="51" t="str">
        <x:v>Comprovante de abastecimento aguardando conferência.</x:v>
      </x:c>
      <x:c r="F9" s="25" t="str">
        <x:v>Pendente</x:v>
      </x:c>
      <x:c r="G9" s="26" t="str">
        <x:f>IF(COUNTA(A9:F9)=0,"",IF(A9="","Informe ID",IF(COUNTIFS($A$7:$A$56,A9)&lt;&gt;1,"Duplicado: ID",IF(COUNTIFS(Auxiliar!$A$9:$A$58,B9)&lt;&gt;1,"Conferir veículo",IF(OR(NOT(ISNUMBER(C9)),C9&lt;DATE(2000,1,1),C9&gt;DATE(2100,12,31)),"Conferir data",IF(OR(D9="",E9=""),"Informe tipo e descrição",IF(AND(F9&lt;&gt;"Pendente",F9&lt;&gt;"Em conferência",F9&lt;&gt;"Conferido"),"Conferir situação","Válido")))))))</x:f>
        <x:v>Válido</x:v>
      </x:c>
      <x:c r="H9" s="48" t="n">
        <x:f>IF(AND(ISNUMBER(C9),C9&gt;=DATE(2000,1,1)),DATE(YEAR(C9),MONTH(C9),1),"")</x:f>
        <x:v>46266</x:v>
      </x:c>
    </x:row>
    <x:row r="10" ht="42" customHeight="1">
      <x:c r="A10" s="25" t="str">
        <x:v>FR-O04</x:v>
      </x:c>
      <x:c r="B10" s="25" t="str">
        <x:v>FR-01</x:v>
      </x:c>
      <x:c r="C10" s="33" t="n">
        <x:v>46275</x:v>
      </x:c>
      <x:c r="D10" s="25" t="str">
        <x:v>Manutenção</x:v>
      </x:c>
      <x:c r="E10" s="51" t="str">
        <x:v>Documento da revisão conferido.</x:v>
      </x:c>
      <x:c r="F10" s="25" t="str">
        <x:v>Conferido</x:v>
      </x:c>
      <x:c r="G10" s="26" t="str">
        <x:f>IF(COUNTA(A10:F10)=0,"",IF(A10="","Informe ID",IF(COUNTIFS($A$7:$A$56,A10)&lt;&gt;1,"Duplicado: ID",IF(COUNTIFS(Auxiliar!$A$9:$A$58,B10)&lt;&gt;1,"Conferir veículo",IF(OR(NOT(ISNUMBER(C10)),C10&lt;DATE(2000,1,1),C10&gt;DATE(2100,12,31)),"Conferir data",IF(OR(D10="",E10=""),"Informe tipo e descrição",IF(AND(F10&lt;&gt;"Pendente",F10&lt;&gt;"Em conferência",F10&lt;&gt;"Conferido"),"Conferir situação","Válido")))))))</x:f>
        <x:v>Válido</x:v>
      </x:c>
      <x:c r="H10" s="48" t="n">
        <x:f>IF(AND(ISNUMBER(C10),C10&gt;=DATE(2000,1,1)),DATE(YEAR(C10),MONTH(C10),1),"")</x:f>
        <x:v>46266</x:v>
      </x:c>
    </x:row>
    <x:row r="11" ht="42" customHeight="1">
      <x:c r="A11" s="25"/>
      <x:c r="B11" s="25"/>
      <x:c r="C11" s="33"/>
      <x:c r="D11" s="25"/>
      <x:c r="E11" s="51"/>
      <x:c r="F11" s="25"/>
      <x:c r="G11" s="26" t="str">
        <x:f>IF(COUNTA(A11:F11)=0,"",IF(A11="","Informe ID",IF(COUNTIFS($A$7:$A$56,A11)&lt;&gt;1,"Duplicado: ID",IF(COUNTIFS(Auxiliar!$A$9:$A$58,B11)&lt;&gt;1,"Conferir veículo",IF(OR(NOT(ISNUMBER(C11)),C11&lt;DATE(2000,1,1),C11&gt;DATE(2100,12,31)),"Conferir data",IF(OR(D11="",E11=""),"Informe tipo e descrição",IF(AND(F11&lt;&gt;"Pendente",F11&lt;&gt;"Em conferência",F11&lt;&gt;"Conferido"),"Conferir situação","Válido")))))))</x:f>
      </x:c>
      <x:c r="H11" s="48" t="str">
        <x:f>IF(AND(ISNUMBER(C11),C11&gt;=DATE(2000,1,1)),DATE(YEAR(C11),MONTH(C11),1),"")</x:f>
      </x:c>
    </x:row>
    <x:row r="12" ht="42" customHeight="1">
      <x:c r="A12" s="25"/>
      <x:c r="B12" s="25"/>
      <x:c r="C12" s="33"/>
      <x:c r="D12" s="25"/>
      <x:c r="E12" s="51"/>
      <x:c r="F12" s="25"/>
      <x:c r="G12" s="26" t="str">
        <x:f>IF(COUNTA(A12:F12)=0,"",IF(A12="","Informe ID",IF(COUNTIFS($A$7:$A$56,A12)&lt;&gt;1,"Duplicado: ID",IF(COUNTIFS(Auxiliar!$A$9:$A$58,B12)&lt;&gt;1,"Conferir veículo",IF(OR(NOT(ISNUMBER(C12)),C12&lt;DATE(2000,1,1),C12&gt;DATE(2100,12,31)),"Conferir data",IF(OR(D12="",E12=""),"Informe tipo e descrição",IF(AND(F12&lt;&gt;"Pendente",F12&lt;&gt;"Em conferência",F12&lt;&gt;"Conferido"),"Conferir situação","Válido")))))))</x:f>
      </x:c>
      <x:c r="H12" s="48" t="str">
        <x:f>IF(AND(ISNUMBER(C12),C12&gt;=DATE(2000,1,1)),DATE(YEAR(C12),MONTH(C12),1),"")</x:f>
      </x:c>
    </x:row>
    <x:row r="13" ht="42" customHeight="1">
      <x:c r="A13" s="25"/>
      <x:c r="B13" s="25"/>
      <x:c r="C13" s="33"/>
      <x:c r="D13" s="25"/>
      <x:c r="E13" s="51"/>
      <x:c r="F13" s="25"/>
      <x:c r="G13" s="26" t="str">
        <x:f>IF(COUNTA(A13:F13)=0,"",IF(A13="","Informe ID",IF(COUNTIFS($A$7:$A$56,A13)&lt;&gt;1,"Duplicado: ID",IF(COUNTIFS(Auxiliar!$A$9:$A$58,B13)&lt;&gt;1,"Conferir veículo",IF(OR(NOT(ISNUMBER(C13)),C13&lt;DATE(2000,1,1),C13&gt;DATE(2100,12,31)),"Conferir data",IF(OR(D13="",E13=""),"Informe tipo e descrição",IF(AND(F13&lt;&gt;"Pendente",F13&lt;&gt;"Em conferência",F13&lt;&gt;"Conferido"),"Conferir situação","Válido")))))))</x:f>
      </x:c>
      <x:c r="H13" s="48" t="str">
        <x:f>IF(AND(ISNUMBER(C13),C13&gt;=DATE(2000,1,1)),DATE(YEAR(C13),MONTH(C13),1),"")</x:f>
      </x:c>
    </x:row>
    <x:row r="14" ht="42" customHeight="1">
      <x:c r="A14" s="25"/>
      <x:c r="B14" s="25"/>
      <x:c r="C14" s="33"/>
      <x:c r="D14" s="25"/>
      <x:c r="E14" s="51"/>
      <x:c r="F14" s="25"/>
      <x:c r="G14" s="26" t="str">
        <x:f>IF(COUNTA(A14:F14)=0,"",IF(A14="","Informe ID",IF(COUNTIFS($A$7:$A$56,A14)&lt;&gt;1,"Duplicado: ID",IF(COUNTIFS(Auxiliar!$A$9:$A$58,B14)&lt;&gt;1,"Conferir veículo",IF(OR(NOT(ISNUMBER(C14)),C14&lt;DATE(2000,1,1),C14&gt;DATE(2100,12,31)),"Conferir data",IF(OR(D14="",E14=""),"Informe tipo e descrição",IF(AND(F14&lt;&gt;"Pendente",F14&lt;&gt;"Em conferência",F14&lt;&gt;"Conferido"),"Conferir situação","Válido")))))))</x:f>
      </x:c>
      <x:c r="H14" s="48" t="str">
        <x:f>IF(AND(ISNUMBER(C14),C14&gt;=DATE(2000,1,1)),DATE(YEAR(C14),MONTH(C14),1),"")</x:f>
      </x:c>
    </x:row>
    <x:row r="15" ht="42" customHeight="1">
      <x:c r="A15" s="25"/>
      <x:c r="B15" s="25"/>
      <x:c r="C15" s="33"/>
      <x:c r="D15" s="25"/>
      <x:c r="E15" s="51"/>
      <x:c r="F15" s="25"/>
      <x:c r="G15" s="26" t="str">
        <x:f>IF(COUNTA(A15:F15)=0,"",IF(A15="","Informe ID",IF(COUNTIFS($A$7:$A$56,A15)&lt;&gt;1,"Duplicado: ID",IF(COUNTIFS(Auxiliar!$A$9:$A$58,B15)&lt;&gt;1,"Conferir veículo",IF(OR(NOT(ISNUMBER(C15)),C15&lt;DATE(2000,1,1),C15&gt;DATE(2100,12,31)),"Conferir data",IF(OR(D15="",E15=""),"Informe tipo e descrição",IF(AND(F15&lt;&gt;"Pendente",F15&lt;&gt;"Em conferência",F15&lt;&gt;"Conferido"),"Conferir situação","Válido")))))))</x:f>
      </x:c>
      <x:c r="H15" s="48" t="str">
        <x:f>IF(AND(ISNUMBER(C15),C15&gt;=DATE(2000,1,1)),DATE(YEAR(C15),MONTH(C15),1),"")</x:f>
      </x:c>
    </x:row>
    <x:row r="16" ht="42" customHeight="1">
      <x:c r="A16" s="25"/>
      <x:c r="B16" s="25"/>
      <x:c r="C16" s="33"/>
      <x:c r="D16" s="25"/>
      <x:c r="E16" s="51"/>
      <x:c r="F16" s="25"/>
      <x:c r="G16" s="26" t="str">
        <x:f>IF(COUNTA(A16:F16)=0,"",IF(A16="","Informe ID",IF(COUNTIFS($A$7:$A$56,A16)&lt;&gt;1,"Duplicado: ID",IF(COUNTIFS(Auxiliar!$A$9:$A$58,B16)&lt;&gt;1,"Conferir veículo",IF(OR(NOT(ISNUMBER(C16)),C16&lt;DATE(2000,1,1),C16&gt;DATE(2100,12,31)),"Conferir data",IF(OR(D16="",E16=""),"Informe tipo e descrição",IF(AND(F16&lt;&gt;"Pendente",F16&lt;&gt;"Em conferência",F16&lt;&gt;"Conferido"),"Conferir situação","Válido")))))))</x:f>
      </x:c>
      <x:c r="H16" s="48" t="str">
        <x:f>IF(AND(ISNUMBER(C16),C16&gt;=DATE(2000,1,1)),DATE(YEAR(C16),MONTH(C16),1),"")</x:f>
      </x:c>
    </x:row>
    <x:row r="17" ht="42" customHeight="1">
      <x:c r="A17" s="25"/>
      <x:c r="B17" s="25"/>
      <x:c r="C17" s="33"/>
      <x:c r="D17" s="25"/>
      <x:c r="E17" s="51"/>
      <x:c r="F17" s="25"/>
      <x:c r="G17" s="26" t="str">
        <x:f>IF(COUNTA(A17:F17)=0,"",IF(A17="","Informe ID",IF(COUNTIFS($A$7:$A$56,A17)&lt;&gt;1,"Duplicado: ID",IF(COUNTIFS(Auxiliar!$A$9:$A$58,B17)&lt;&gt;1,"Conferir veículo",IF(OR(NOT(ISNUMBER(C17)),C17&lt;DATE(2000,1,1),C17&gt;DATE(2100,12,31)),"Conferir data",IF(OR(D17="",E17=""),"Informe tipo e descrição",IF(AND(F17&lt;&gt;"Pendente",F17&lt;&gt;"Em conferência",F17&lt;&gt;"Conferido"),"Conferir situação","Válido")))))))</x:f>
      </x:c>
      <x:c r="H17" s="48" t="str">
        <x:f>IF(AND(ISNUMBER(C17),C17&gt;=DATE(2000,1,1)),DATE(YEAR(C17),MONTH(C17),1),"")</x:f>
      </x:c>
    </x:row>
    <x:row r="18" ht="42" customHeight="1">
      <x:c r="A18" s="25"/>
      <x:c r="B18" s="25"/>
      <x:c r="C18" s="33"/>
      <x:c r="D18" s="25"/>
      <x:c r="E18" s="51"/>
      <x:c r="F18" s="25"/>
      <x:c r="G18" s="26" t="str">
        <x:f>IF(COUNTA(A18:F18)=0,"",IF(A18="","Informe ID",IF(COUNTIFS($A$7:$A$56,A18)&lt;&gt;1,"Duplicado: ID",IF(COUNTIFS(Auxiliar!$A$9:$A$58,B18)&lt;&gt;1,"Conferir veículo",IF(OR(NOT(ISNUMBER(C18)),C18&lt;DATE(2000,1,1),C18&gt;DATE(2100,12,31)),"Conferir data",IF(OR(D18="",E18=""),"Informe tipo e descrição",IF(AND(F18&lt;&gt;"Pendente",F18&lt;&gt;"Em conferência",F18&lt;&gt;"Conferido"),"Conferir situação","Válido")))))))</x:f>
      </x:c>
      <x:c r="H18" s="48" t="str">
        <x:f>IF(AND(ISNUMBER(C18),C18&gt;=DATE(2000,1,1)),DATE(YEAR(C18),MONTH(C18),1),"")</x:f>
      </x:c>
    </x:row>
    <x:row r="19" ht="42" customHeight="1">
      <x:c r="A19" s="25"/>
      <x:c r="B19" s="25"/>
      <x:c r="C19" s="33"/>
      <x:c r="D19" s="25"/>
      <x:c r="E19" s="51"/>
      <x:c r="F19" s="25"/>
      <x:c r="G19" s="26" t="str">
        <x:f>IF(COUNTA(A19:F19)=0,"",IF(A19="","Informe ID",IF(COUNTIFS($A$7:$A$56,A19)&lt;&gt;1,"Duplicado: ID",IF(COUNTIFS(Auxiliar!$A$9:$A$58,B19)&lt;&gt;1,"Conferir veículo",IF(OR(NOT(ISNUMBER(C19)),C19&lt;DATE(2000,1,1),C19&gt;DATE(2100,12,31)),"Conferir data",IF(OR(D19="",E19=""),"Informe tipo e descrição",IF(AND(F19&lt;&gt;"Pendente",F19&lt;&gt;"Em conferência",F19&lt;&gt;"Conferido"),"Conferir situação","Válido")))))))</x:f>
      </x:c>
      <x:c r="H19" s="48" t="str">
        <x:f>IF(AND(ISNUMBER(C19),C19&gt;=DATE(2000,1,1)),DATE(YEAR(C19),MONTH(C19),1),"")</x:f>
      </x:c>
    </x:row>
    <x:row r="20" ht="42" customHeight="1">
      <x:c r="A20" s="25"/>
      <x:c r="B20" s="25"/>
      <x:c r="C20" s="33"/>
      <x:c r="D20" s="25"/>
      <x:c r="E20" s="51"/>
      <x:c r="F20" s="25"/>
      <x:c r="G20" s="26" t="str">
        <x:f>IF(COUNTA(A20:F20)=0,"",IF(A20="","Informe ID",IF(COUNTIFS($A$7:$A$56,A20)&lt;&gt;1,"Duplicado: ID",IF(COUNTIFS(Auxiliar!$A$9:$A$58,B20)&lt;&gt;1,"Conferir veículo",IF(OR(NOT(ISNUMBER(C20)),C20&lt;DATE(2000,1,1),C20&gt;DATE(2100,12,31)),"Conferir data",IF(OR(D20="",E20=""),"Informe tipo e descrição",IF(AND(F20&lt;&gt;"Pendente",F20&lt;&gt;"Em conferência",F20&lt;&gt;"Conferido"),"Conferir situação","Válido")))))))</x:f>
      </x:c>
      <x:c r="H20" s="48" t="str">
        <x:f>IF(AND(ISNUMBER(C20),C20&gt;=DATE(2000,1,1)),DATE(YEAR(C20),MONTH(C20),1),"")</x:f>
      </x:c>
    </x:row>
    <x:row r="21" ht="42" customHeight="1">
      <x:c r="A21" s="25"/>
      <x:c r="B21" s="25"/>
      <x:c r="C21" s="33"/>
      <x:c r="D21" s="25"/>
      <x:c r="E21" s="51"/>
      <x:c r="F21" s="25"/>
      <x:c r="G21" s="26" t="str">
        <x:f>IF(COUNTA(A21:F21)=0,"",IF(A21="","Informe ID",IF(COUNTIFS($A$7:$A$56,A21)&lt;&gt;1,"Duplicado: ID",IF(COUNTIFS(Auxiliar!$A$9:$A$58,B21)&lt;&gt;1,"Conferir veículo",IF(OR(NOT(ISNUMBER(C21)),C21&lt;DATE(2000,1,1),C21&gt;DATE(2100,12,31)),"Conferir data",IF(OR(D21="",E21=""),"Informe tipo e descrição",IF(AND(F21&lt;&gt;"Pendente",F21&lt;&gt;"Em conferência",F21&lt;&gt;"Conferido"),"Conferir situação","Válido")))))))</x:f>
      </x:c>
      <x:c r="H21" s="48" t="str">
        <x:f>IF(AND(ISNUMBER(C21),C21&gt;=DATE(2000,1,1)),DATE(YEAR(C21),MONTH(C21),1),"")</x:f>
      </x:c>
    </x:row>
    <x:row r="22" ht="42" customHeight="1">
      <x:c r="A22" s="25"/>
      <x:c r="B22" s="25"/>
      <x:c r="C22" s="33"/>
      <x:c r="D22" s="25"/>
      <x:c r="E22" s="51"/>
      <x:c r="F22" s="25"/>
      <x:c r="G22" s="26" t="str">
        <x:f>IF(COUNTA(A22:F22)=0,"",IF(A22="","Informe ID",IF(COUNTIFS($A$7:$A$56,A22)&lt;&gt;1,"Duplicado: ID",IF(COUNTIFS(Auxiliar!$A$9:$A$58,B22)&lt;&gt;1,"Conferir veículo",IF(OR(NOT(ISNUMBER(C22)),C22&lt;DATE(2000,1,1),C22&gt;DATE(2100,12,31)),"Conferir data",IF(OR(D22="",E22=""),"Informe tipo e descrição",IF(AND(F22&lt;&gt;"Pendente",F22&lt;&gt;"Em conferência",F22&lt;&gt;"Conferido"),"Conferir situação","Válido")))))))</x:f>
      </x:c>
      <x:c r="H22" s="48" t="str">
        <x:f>IF(AND(ISNUMBER(C22),C22&gt;=DATE(2000,1,1)),DATE(YEAR(C22),MONTH(C22),1),"")</x:f>
      </x:c>
    </x:row>
    <x:row r="23" ht="42" customHeight="1">
      <x:c r="A23" s="25"/>
      <x:c r="B23" s="25"/>
      <x:c r="C23" s="33"/>
      <x:c r="D23" s="25"/>
      <x:c r="E23" s="51"/>
      <x:c r="F23" s="25"/>
      <x:c r="G23" s="26" t="str">
        <x:f>IF(COUNTA(A23:F23)=0,"",IF(A23="","Informe ID",IF(COUNTIFS($A$7:$A$56,A23)&lt;&gt;1,"Duplicado: ID",IF(COUNTIFS(Auxiliar!$A$9:$A$58,B23)&lt;&gt;1,"Conferir veículo",IF(OR(NOT(ISNUMBER(C23)),C23&lt;DATE(2000,1,1),C23&gt;DATE(2100,12,31)),"Conferir data",IF(OR(D23="",E23=""),"Informe tipo e descrição",IF(AND(F23&lt;&gt;"Pendente",F23&lt;&gt;"Em conferência",F23&lt;&gt;"Conferido"),"Conferir situação","Válido")))))))</x:f>
      </x:c>
      <x:c r="H23" s="48" t="str">
        <x:f>IF(AND(ISNUMBER(C23),C23&gt;=DATE(2000,1,1)),DATE(YEAR(C23),MONTH(C23),1),"")</x:f>
      </x:c>
    </x:row>
    <x:row r="24" ht="42" customHeight="1">
      <x:c r="A24" s="25"/>
      <x:c r="B24" s="25"/>
      <x:c r="C24" s="33"/>
      <x:c r="D24" s="25"/>
      <x:c r="E24" s="51"/>
      <x:c r="F24" s="25"/>
      <x:c r="G24" s="26" t="str">
        <x:f>IF(COUNTA(A24:F24)=0,"",IF(A24="","Informe ID",IF(COUNTIFS($A$7:$A$56,A24)&lt;&gt;1,"Duplicado: ID",IF(COUNTIFS(Auxiliar!$A$9:$A$58,B24)&lt;&gt;1,"Conferir veículo",IF(OR(NOT(ISNUMBER(C24)),C24&lt;DATE(2000,1,1),C24&gt;DATE(2100,12,31)),"Conferir data",IF(OR(D24="",E24=""),"Informe tipo e descrição",IF(AND(F24&lt;&gt;"Pendente",F24&lt;&gt;"Em conferência",F24&lt;&gt;"Conferido"),"Conferir situação","Válido")))))))</x:f>
      </x:c>
      <x:c r="H24" s="48" t="str">
        <x:f>IF(AND(ISNUMBER(C24),C24&gt;=DATE(2000,1,1)),DATE(YEAR(C24),MONTH(C24),1),"")</x:f>
      </x:c>
    </x:row>
    <x:row r="25" ht="42" customHeight="1">
      <x:c r="A25" s="25"/>
      <x:c r="B25" s="25"/>
      <x:c r="C25" s="33"/>
      <x:c r="D25" s="25"/>
      <x:c r="E25" s="51"/>
      <x:c r="F25" s="25"/>
      <x:c r="G25" s="26" t="str">
        <x:f>IF(COUNTA(A25:F25)=0,"",IF(A25="","Informe ID",IF(COUNTIFS($A$7:$A$56,A25)&lt;&gt;1,"Duplicado: ID",IF(COUNTIFS(Auxiliar!$A$9:$A$58,B25)&lt;&gt;1,"Conferir veículo",IF(OR(NOT(ISNUMBER(C25)),C25&lt;DATE(2000,1,1),C25&gt;DATE(2100,12,31)),"Conferir data",IF(OR(D25="",E25=""),"Informe tipo e descrição",IF(AND(F25&lt;&gt;"Pendente",F25&lt;&gt;"Em conferência",F25&lt;&gt;"Conferido"),"Conferir situação","Válido")))))))</x:f>
      </x:c>
      <x:c r="H25" s="48" t="str">
        <x:f>IF(AND(ISNUMBER(C25),C25&gt;=DATE(2000,1,1)),DATE(YEAR(C25),MONTH(C25),1),"")</x:f>
      </x:c>
    </x:row>
    <x:row r="26" ht="42" customHeight="1">
      <x:c r="A26" s="25"/>
      <x:c r="B26" s="25"/>
      <x:c r="C26" s="33"/>
      <x:c r="D26" s="25"/>
      <x:c r="E26" s="51"/>
      <x:c r="F26" s="25"/>
      <x:c r="G26" s="26" t="str">
        <x:f>IF(COUNTA(A26:F26)=0,"",IF(A26="","Informe ID",IF(COUNTIFS($A$7:$A$56,A26)&lt;&gt;1,"Duplicado: ID",IF(COUNTIFS(Auxiliar!$A$9:$A$58,B26)&lt;&gt;1,"Conferir veículo",IF(OR(NOT(ISNUMBER(C26)),C26&lt;DATE(2000,1,1),C26&gt;DATE(2100,12,31)),"Conferir data",IF(OR(D26="",E26=""),"Informe tipo e descrição",IF(AND(F26&lt;&gt;"Pendente",F26&lt;&gt;"Em conferência",F26&lt;&gt;"Conferido"),"Conferir situação","Válido")))))))</x:f>
      </x:c>
      <x:c r="H26" s="48" t="str">
        <x:f>IF(AND(ISNUMBER(C26),C26&gt;=DATE(2000,1,1)),DATE(YEAR(C26),MONTH(C26),1),"")</x:f>
      </x:c>
    </x:row>
    <x:row r="27" ht="42" customHeight="1">
      <x:c r="A27" s="25"/>
      <x:c r="B27" s="25"/>
      <x:c r="C27" s="33"/>
      <x:c r="D27" s="25"/>
      <x:c r="E27" s="51"/>
      <x:c r="F27" s="25"/>
      <x:c r="G27" s="26" t="str">
        <x:f>IF(COUNTA(A27:F27)=0,"",IF(A27="","Informe ID",IF(COUNTIFS($A$7:$A$56,A27)&lt;&gt;1,"Duplicado: ID",IF(COUNTIFS(Auxiliar!$A$9:$A$58,B27)&lt;&gt;1,"Conferir veículo",IF(OR(NOT(ISNUMBER(C27)),C27&lt;DATE(2000,1,1),C27&gt;DATE(2100,12,31)),"Conferir data",IF(OR(D27="",E27=""),"Informe tipo e descrição",IF(AND(F27&lt;&gt;"Pendente",F27&lt;&gt;"Em conferência",F27&lt;&gt;"Conferido"),"Conferir situação","Válido")))))))</x:f>
      </x:c>
      <x:c r="H27" s="48" t="str">
        <x:f>IF(AND(ISNUMBER(C27),C27&gt;=DATE(2000,1,1)),DATE(YEAR(C27),MONTH(C27),1),"")</x:f>
      </x:c>
    </x:row>
    <x:row r="28" ht="42" customHeight="1">
      <x:c r="A28" s="25"/>
      <x:c r="B28" s="25"/>
      <x:c r="C28" s="33"/>
      <x:c r="D28" s="25"/>
      <x:c r="E28" s="51"/>
      <x:c r="F28" s="25"/>
      <x:c r="G28" s="26" t="str">
        <x:f>IF(COUNTA(A28:F28)=0,"",IF(A28="","Informe ID",IF(COUNTIFS($A$7:$A$56,A28)&lt;&gt;1,"Duplicado: ID",IF(COUNTIFS(Auxiliar!$A$9:$A$58,B28)&lt;&gt;1,"Conferir veículo",IF(OR(NOT(ISNUMBER(C28)),C28&lt;DATE(2000,1,1),C28&gt;DATE(2100,12,31)),"Conferir data",IF(OR(D28="",E28=""),"Informe tipo e descrição",IF(AND(F28&lt;&gt;"Pendente",F28&lt;&gt;"Em conferência",F28&lt;&gt;"Conferido"),"Conferir situação","Válido")))))))</x:f>
      </x:c>
      <x:c r="H28" s="48" t="str">
        <x:f>IF(AND(ISNUMBER(C28),C28&gt;=DATE(2000,1,1)),DATE(YEAR(C28),MONTH(C28),1),"")</x:f>
      </x:c>
    </x:row>
    <x:row r="29" ht="42" customHeight="1">
      <x:c r="A29" s="25"/>
      <x:c r="B29" s="25"/>
      <x:c r="C29" s="33"/>
      <x:c r="D29" s="25"/>
      <x:c r="E29" s="51"/>
      <x:c r="F29" s="25"/>
      <x:c r="G29" s="26" t="str">
        <x:f>IF(COUNTA(A29:F29)=0,"",IF(A29="","Informe ID",IF(COUNTIFS($A$7:$A$56,A29)&lt;&gt;1,"Duplicado: ID",IF(COUNTIFS(Auxiliar!$A$9:$A$58,B29)&lt;&gt;1,"Conferir veículo",IF(OR(NOT(ISNUMBER(C29)),C29&lt;DATE(2000,1,1),C29&gt;DATE(2100,12,31)),"Conferir data",IF(OR(D29="",E29=""),"Informe tipo e descrição",IF(AND(F29&lt;&gt;"Pendente",F29&lt;&gt;"Em conferência",F29&lt;&gt;"Conferido"),"Conferir situação","Válido")))))))</x:f>
      </x:c>
      <x:c r="H29" s="48" t="str">
        <x:f>IF(AND(ISNUMBER(C29),C29&gt;=DATE(2000,1,1)),DATE(YEAR(C29),MONTH(C29),1),"")</x:f>
      </x:c>
    </x:row>
    <x:row r="30" ht="42" customHeight="1">
      <x:c r="A30" s="25"/>
      <x:c r="B30" s="25"/>
      <x:c r="C30" s="33"/>
      <x:c r="D30" s="25"/>
      <x:c r="E30" s="51"/>
      <x:c r="F30" s="25"/>
      <x:c r="G30" s="26" t="str">
        <x:f>IF(COUNTA(A30:F30)=0,"",IF(A30="","Informe ID",IF(COUNTIFS($A$7:$A$56,A30)&lt;&gt;1,"Duplicado: ID",IF(COUNTIFS(Auxiliar!$A$9:$A$58,B30)&lt;&gt;1,"Conferir veículo",IF(OR(NOT(ISNUMBER(C30)),C30&lt;DATE(2000,1,1),C30&gt;DATE(2100,12,31)),"Conferir data",IF(OR(D30="",E30=""),"Informe tipo e descrição",IF(AND(F30&lt;&gt;"Pendente",F30&lt;&gt;"Em conferência",F30&lt;&gt;"Conferido"),"Conferir situação","Válido")))))))</x:f>
      </x:c>
      <x:c r="H30" s="48" t="str">
        <x:f>IF(AND(ISNUMBER(C30),C30&gt;=DATE(2000,1,1)),DATE(YEAR(C30),MONTH(C30),1),"")</x:f>
      </x:c>
    </x:row>
    <x:row r="31" ht="42" customHeight="1">
      <x:c r="A31" s="25"/>
      <x:c r="B31" s="25"/>
      <x:c r="C31" s="33"/>
      <x:c r="D31" s="25"/>
      <x:c r="E31" s="51"/>
      <x:c r="F31" s="25"/>
      <x:c r="G31" s="26" t="str">
        <x:f>IF(COUNTA(A31:F31)=0,"",IF(A31="","Informe ID",IF(COUNTIFS($A$7:$A$56,A31)&lt;&gt;1,"Duplicado: ID",IF(COUNTIFS(Auxiliar!$A$9:$A$58,B31)&lt;&gt;1,"Conferir veículo",IF(OR(NOT(ISNUMBER(C31)),C31&lt;DATE(2000,1,1),C31&gt;DATE(2100,12,31)),"Conferir data",IF(OR(D31="",E31=""),"Informe tipo e descrição",IF(AND(F31&lt;&gt;"Pendente",F31&lt;&gt;"Em conferência",F31&lt;&gt;"Conferido"),"Conferir situação","Válido")))))))</x:f>
      </x:c>
      <x:c r="H31" s="48" t="str">
        <x:f>IF(AND(ISNUMBER(C31),C31&gt;=DATE(2000,1,1)),DATE(YEAR(C31),MONTH(C31),1),"")</x:f>
      </x:c>
    </x:row>
    <x:row r="32" ht="42" customHeight="1">
      <x:c r="A32" s="25"/>
      <x:c r="B32" s="25"/>
      <x:c r="C32" s="33"/>
      <x:c r="D32" s="25"/>
      <x:c r="E32" s="51"/>
      <x:c r="F32" s="25"/>
      <x:c r="G32" s="26" t="str">
        <x:f>IF(COUNTA(A32:F32)=0,"",IF(A32="","Informe ID",IF(COUNTIFS($A$7:$A$56,A32)&lt;&gt;1,"Duplicado: ID",IF(COUNTIFS(Auxiliar!$A$9:$A$58,B32)&lt;&gt;1,"Conferir veículo",IF(OR(NOT(ISNUMBER(C32)),C32&lt;DATE(2000,1,1),C32&gt;DATE(2100,12,31)),"Conferir data",IF(OR(D32="",E32=""),"Informe tipo e descrição",IF(AND(F32&lt;&gt;"Pendente",F32&lt;&gt;"Em conferência",F32&lt;&gt;"Conferido"),"Conferir situação","Válido")))))))</x:f>
      </x:c>
      <x:c r="H32" s="48" t="str">
        <x:f>IF(AND(ISNUMBER(C32),C32&gt;=DATE(2000,1,1)),DATE(YEAR(C32),MONTH(C32),1),"")</x:f>
      </x:c>
    </x:row>
    <x:row r="33" ht="42" customHeight="1">
      <x:c r="A33" s="25"/>
      <x:c r="B33" s="25"/>
      <x:c r="C33" s="33"/>
      <x:c r="D33" s="25"/>
      <x:c r="E33" s="51"/>
      <x:c r="F33" s="25"/>
      <x:c r="G33" s="26" t="str">
        <x:f>IF(COUNTA(A33:F33)=0,"",IF(A33="","Informe ID",IF(COUNTIFS($A$7:$A$56,A33)&lt;&gt;1,"Duplicado: ID",IF(COUNTIFS(Auxiliar!$A$9:$A$58,B33)&lt;&gt;1,"Conferir veículo",IF(OR(NOT(ISNUMBER(C33)),C33&lt;DATE(2000,1,1),C33&gt;DATE(2100,12,31)),"Conferir data",IF(OR(D33="",E33=""),"Informe tipo e descrição",IF(AND(F33&lt;&gt;"Pendente",F33&lt;&gt;"Em conferência",F33&lt;&gt;"Conferido"),"Conferir situação","Válido")))))))</x:f>
      </x:c>
      <x:c r="H33" s="48" t="str">
        <x:f>IF(AND(ISNUMBER(C33),C33&gt;=DATE(2000,1,1)),DATE(YEAR(C33),MONTH(C33),1),"")</x:f>
      </x:c>
    </x:row>
    <x:row r="34" ht="42" customHeight="1">
      <x:c r="A34" s="25"/>
      <x:c r="B34" s="25"/>
      <x:c r="C34" s="33"/>
      <x:c r="D34" s="25"/>
      <x:c r="E34" s="51"/>
      <x:c r="F34" s="25"/>
      <x:c r="G34" s="26" t="str">
        <x:f>IF(COUNTA(A34:F34)=0,"",IF(A34="","Informe ID",IF(COUNTIFS($A$7:$A$56,A34)&lt;&gt;1,"Duplicado: ID",IF(COUNTIFS(Auxiliar!$A$9:$A$58,B34)&lt;&gt;1,"Conferir veículo",IF(OR(NOT(ISNUMBER(C34)),C34&lt;DATE(2000,1,1),C34&gt;DATE(2100,12,31)),"Conferir data",IF(OR(D34="",E34=""),"Informe tipo e descrição",IF(AND(F34&lt;&gt;"Pendente",F34&lt;&gt;"Em conferência",F34&lt;&gt;"Conferido"),"Conferir situação","Válido")))))))</x:f>
      </x:c>
      <x:c r="H34" s="48" t="str">
        <x:f>IF(AND(ISNUMBER(C34),C34&gt;=DATE(2000,1,1)),DATE(YEAR(C34),MONTH(C34),1),"")</x:f>
      </x:c>
    </x:row>
    <x:row r="35" ht="42" customHeight="1">
      <x:c r="A35" s="25"/>
      <x:c r="B35" s="25"/>
      <x:c r="C35" s="33"/>
      <x:c r="D35" s="25"/>
      <x:c r="E35" s="51"/>
      <x:c r="F35" s="25"/>
      <x:c r="G35" s="26" t="str">
        <x:f>IF(COUNTA(A35:F35)=0,"",IF(A35="","Informe ID",IF(COUNTIFS($A$7:$A$56,A35)&lt;&gt;1,"Duplicado: ID",IF(COUNTIFS(Auxiliar!$A$9:$A$58,B35)&lt;&gt;1,"Conferir veículo",IF(OR(NOT(ISNUMBER(C35)),C35&lt;DATE(2000,1,1),C35&gt;DATE(2100,12,31)),"Conferir data",IF(OR(D35="",E35=""),"Informe tipo e descrição",IF(AND(F35&lt;&gt;"Pendente",F35&lt;&gt;"Em conferência",F35&lt;&gt;"Conferido"),"Conferir situação","Válido")))))))</x:f>
      </x:c>
      <x:c r="H35" s="48" t="str">
        <x:f>IF(AND(ISNUMBER(C35),C35&gt;=DATE(2000,1,1)),DATE(YEAR(C35),MONTH(C35),1),"")</x:f>
      </x:c>
    </x:row>
    <x:row r="36" ht="42" customHeight="1">
      <x:c r="A36" s="25"/>
      <x:c r="B36" s="25"/>
      <x:c r="C36" s="33"/>
      <x:c r="D36" s="25"/>
      <x:c r="E36" s="51"/>
      <x:c r="F36" s="25"/>
      <x:c r="G36" s="26" t="str">
        <x:f>IF(COUNTA(A36:F36)=0,"",IF(A36="","Informe ID",IF(COUNTIFS($A$7:$A$56,A36)&lt;&gt;1,"Duplicado: ID",IF(COUNTIFS(Auxiliar!$A$9:$A$58,B36)&lt;&gt;1,"Conferir veículo",IF(OR(NOT(ISNUMBER(C36)),C36&lt;DATE(2000,1,1),C36&gt;DATE(2100,12,31)),"Conferir data",IF(OR(D36="",E36=""),"Informe tipo e descrição",IF(AND(F36&lt;&gt;"Pendente",F36&lt;&gt;"Em conferência",F36&lt;&gt;"Conferido"),"Conferir situação","Válido")))))))</x:f>
      </x:c>
      <x:c r="H36" s="48" t="str">
        <x:f>IF(AND(ISNUMBER(C36),C36&gt;=DATE(2000,1,1)),DATE(YEAR(C36),MONTH(C36),1),"")</x:f>
      </x:c>
    </x:row>
    <x:row r="37" ht="42" customHeight="1">
      <x:c r="A37" s="25"/>
      <x:c r="B37" s="25"/>
      <x:c r="C37" s="33"/>
      <x:c r="D37" s="25"/>
      <x:c r="E37" s="51"/>
      <x:c r="F37" s="25"/>
      <x:c r="G37" s="26" t="str">
        <x:f>IF(COUNTA(A37:F37)=0,"",IF(A37="","Informe ID",IF(COUNTIFS($A$7:$A$56,A37)&lt;&gt;1,"Duplicado: ID",IF(COUNTIFS(Auxiliar!$A$9:$A$58,B37)&lt;&gt;1,"Conferir veículo",IF(OR(NOT(ISNUMBER(C37)),C37&lt;DATE(2000,1,1),C37&gt;DATE(2100,12,31)),"Conferir data",IF(OR(D37="",E37=""),"Informe tipo e descrição",IF(AND(F37&lt;&gt;"Pendente",F37&lt;&gt;"Em conferência",F37&lt;&gt;"Conferido"),"Conferir situação","Válido")))))))</x:f>
      </x:c>
      <x:c r="H37" s="48" t="str">
        <x:f>IF(AND(ISNUMBER(C37),C37&gt;=DATE(2000,1,1)),DATE(YEAR(C37),MONTH(C37),1),"")</x:f>
      </x:c>
    </x:row>
    <x:row r="38" ht="42" customHeight="1">
      <x:c r="A38" s="25"/>
      <x:c r="B38" s="25"/>
      <x:c r="C38" s="33"/>
      <x:c r="D38" s="25"/>
      <x:c r="E38" s="51"/>
      <x:c r="F38" s="25"/>
      <x:c r="G38" s="26" t="str">
        <x:f>IF(COUNTA(A38:F38)=0,"",IF(A38="","Informe ID",IF(COUNTIFS($A$7:$A$56,A38)&lt;&gt;1,"Duplicado: ID",IF(COUNTIFS(Auxiliar!$A$9:$A$58,B38)&lt;&gt;1,"Conferir veículo",IF(OR(NOT(ISNUMBER(C38)),C38&lt;DATE(2000,1,1),C38&gt;DATE(2100,12,31)),"Conferir data",IF(OR(D38="",E38=""),"Informe tipo e descrição",IF(AND(F38&lt;&gt;"Pendente",F38&lt;&gt;"Em conferência",F38&lt;&gt;"Conferido"),"Conferir situação","Válido")))))))</x:f>
      </x:c>
      <x:c r="H38" s="48" t="str">
        <x:f>IF(AND(ISNUMBER(C38),C38&gt;=DATE(2000,1,1)),DATE(YEAR(C38),MONTH(C38),1),"")</x:f>
      </x:c>
    </x:row>
    <x:row r="39" ht="42" customHeight="1">
      <x:c r="A39" s="25"/>
      <x:c r="B39" s="25"/>
      <x:c r="C39" s="33"/>
      <x:c r="D39" s="25"/>
      <x:c r="E39" s="51"/>
      <x:c r="F39" s="25"/>
      <x:c r="G39" s="26" t="str">
        <x:f>IF(COUNTA(A39:F39)=0,"",IF(A39="","Informe ID",IF(COUNTIFS($A$7:$A$56,A39)&lt;&gt;1,"Duplicado: ID",IF(COUNTIFS(Auxiliar!$A$9:$A$58,B39)&lt;&gt;1,"Conferir veículo",IF(OR(NOT(ISNUMBER(C39)),C39&lt;DATE(2000,1,1),C39&gt;DATE(2100,12,31)),"Conferir data",IF(OR(D39="",E39=""),"Informe tipo e descrição",IF(AND(F39&lt;&gt;"Pendente",F39&lt;&gt;"Em conferência",F39&lt;&gt;"Conferido"),"Conferir situação","Válido")))))))</x:f>
      </x:c>
      <x:c r="H39" s="48" t="str">
        <x:f>IF(AND(ISNUMBER(C39),C39&gt;=DATE(2000,1,1)),DATE(YEAR(C39),MONTH(C39),1),"")</x:f>
      </x:c>
    </x:row>
    <x:row r="40" ht="42" customHeight="1">
      <x:c r="A40" s="25"/>
      <x:c r="B40" s="25"/>
      <x:c r="C40" s="33"/>
      <x:c r="D40" s="25"/>
      <x:c r="E40" s="51"/>
      <x:c r="F40" s="25"/>
      <x:c r="G40" s="26" t="str">
        <x:f>IF(COUNTA(A40:F40)=0,"",IF(A40="","Informe ID",IF(COUNTIFS($A$7:$A$56,A40)&lt;&gt;1,"Duplicado: ID",IF(COUNTIFS(Auxiliar!$A$9:$A$58,B40)&lt;&gt;1,"Conferir veículo",IF(OR(NOT(ISNUMBER(C40)),C40&lt;DATE(2000,1,1),C40&gt;DATE(2100,12,31)),"Conferir data",IF(OR(D40="",E40=""),"Informe tipo e descrição",IF(AND(F40&lt;&gt;"Pendente",F40&lt;&gt;"Em conferência",F40&lt;&gt;"Conferido"),"Conferir situação","Válido")))))))</x:f>
      </x:c>
      <x:c r="H40" s="48" t="str">
        <x:f>IF(AND(ISNUMBER(C40),C40&gt;=DATE(2000,1,1)),DATE(YEAR(C40),MONTH(C40),1),"")</x:f>
      </x:c>
    </x:row>
    <x:row r="41" ht="42" customHeight="1">
      <x:c r="A41" s="25"/>
      <x:c r="B41" s="25"/>
      <x:c r="C41" s="33"/>
      <x:c r="D41" s="25"/>
      <x:c r="E41" s="51"/>
      <x:c r="F41" s="25"/>
      <x:c r="G41" s="26" t="str">
        <x:f>IF(COUNTA(A41:F41)=0,"",IF(A41="","Informe ID",IF(COUNTIFS($A$7:$A$56,A41)&lt;&gt;1,"Duplicado: ID",IF(COUNTIFS(Auxiliar!$A$9:$A$58,B41)&lt;&gt;1,"Conferir veículo",IF(OR(NOT(ISNUMBER(C41)),C41&lt;DATE(2000,1,1),C41&gt;DATE(2100,12,31)),"Conferir data",IF(OR(D41="",E41=""),"Informe tipo e descrição",IF(AND(F41&lt;&gt;"Pendente",F41&lt;&gt;"Em conferência",F41&lt;&gt;"Conferido"),"Conferir situação","Válido")))))))</x:f>
      </x:c>
      <x:c r="H41" s="48" t="str">
        <x:f>IF(AND(ISNUMBER(C41),C41&gt;=DATE(2000,1,1)),DATE(YEAR(C41),MONTH(C41),1),"")</x:f>
      </x:c>
    </x:row>
    <x:row r="42" ht="42" customHeight="1">
      <x:c r="A42" s="25"/>
      <x:c r="B42" s="25"/>
      <x:c r="C42" s="33"/>
      <x:c r="D42" s="25"/>
      <x:c r="E42" s="51"/>
      <x:c r="F42" s="25"/>
      <x:c r="G42" s="26" t="str">
        <x:f>IF(COUNTA(A42:F42)=0,"",IF(A42="","Informe ID",IF(COUNTIFS($A$7:$A$56,A42)&lt;&gt;1,"Duplicado: ID",IF(COUNTIFS(Auxiliar!$A$9:$A$58,B42)&lt;&gt;1,"Conferir veículo",IF(OR(NOT(ISNUMBER(C42)),C42&lt;DATE(2000,1,1),C42&gt;DATE(2100,12,31)),"Conferir data",IF(OR(D42="",E42=""),"Informe tipo e descrição",IF(AND(F42&lt;&gt;"Pendente",F42&lt;&gt;"Em conferência",F42&lt;&gt;"Conferido"),"Conferir situação","Válido")))))))</x:f>
      </x:c>
      <x:c r="H42" s="48" t="str">
        <x:f>IF(AND(ISNUMBER(C42),C42&gt;=DATE(2000,1,1)),DATE(YEAR(C42),MONTH(C42),1),"")</x:f>
      </x:c>
    </x:row>
    <x:row r="43" ht="42" customHeight="1">
      <x:c r="A43" s="25"/>
      <x:c r="B43" s="25"/>
      <x:c r="C43" s="33"/>
      <x:c r="D43" s="25"/>
      <x:c r="E43" s="51"/>
      <x:c r="F43" s="25"/>
      <x:c r="G43" s="26" t="str">
        <x:f>IF(COUNTA(A43:F43)=0,"",IF(A43="","Informe ID",IF(COUNTIFS($A$7:$A$56,A43)&lt;&gt;1,"Duplicado: ID",IF(COUNTIFS(Auxiliar!$A$9:$A$58,B43)&lt;&gt;1,"Conferir veículo",IF(OR(NOT(ISNUMBER(C43)),C43&lt;DATE(2000,1,1),C43&gt;DATE(2100,12,31)),"Conferir data",IF(OR(D43="",E43=""),"Informe tipo e descrição",IF(AND(F43&lt;&gt;"Pendente",F43&lt;&gt;"Em conferência",F43&lt;&gt;"Conferido"),"Conferir situação","Válido")))))))</x:f>
      </x:c>
      <x:c r="H43" s="48" t="str">
        <x:f>IF(AND(ISNUMBER(C43),C43&gt;=DATE(2000,1,1)),DATE(YEAR(C43),MONTH(C43),1),"")</x:f>
      </x:c>
    </x:row>
    <x:row r="44" ht="42" customHeight="1">
      <x:c r="A44" s="25"/>
      <x:c r="B44" s="25"/>
      <x:c r="C44" s="33"/>
      <x:c r="D44" s="25"/>
      <x:c r="E44" s="51"/>
      <x:c r="F44" s="25"/>
      <x:c r="G44" s="26" t="str">
        <x:f>IF(COUNTA(A44:F44)=0,"",IF(A44="","Informe ID",IF(COUNTIFS($A$7:$A$56,A44)&lt;&gt;1,"Duplicado: ID",IF(COUNTIFS(Auxiliar!$A$9:$A$58,B44)&lt;&gt;1,"Conferir veículo",IF(OR(NOT(ISNUMBER(C44)),C44&lt;DATE(2000,1,1),C44&gt;DATE(2100,12,31)),"Conferir data",IF(OR(D44="",E44=""),"Informe tipo e descrição",IF(AND(F44&lt;&gt;"Pendente",F44&lt;&gt;"Em conferência",F44&lt;&gt;"Conferido"),"Conferir situação","Válido")))))))</x:f>
      </x:c>
      <x:c r="H44" s="48" t="str">
        <x:f>IF(AND(ISNUMBER(C44),C44&gt;=DATE(2000,1,1)),DATE(YEAR(C44),MONTH(C44),1),"")</x:f>
      </x:c>
    </x:row>
    <x:row r="45" ht="42" customHeight="1">
      <x:c r="A45" s="25"/>
      <x:c r="B45" s="25"/>
      <x:c r="C45" s="33"/>
      <x:c r="D45" s="25"/>
      <x:c r="E45" s="51"/>
      <x:c r="F45" s="25"/>
      <x:c r="G45" s="26" t="str">
        <x:f>IF(COUNTA(A45:F45)=0,"",IF(A45="","Informe ID",IF(COUNTIFS($A$7:$A$56,A45)&lt;&gt;1,"Duplicado: ID",IF(COUNTIFS(Auxiliar!$A$9:$A$58,B45)&lt;&gt;1,"Conferir veículo",IF(OR(NOT(ISNUMBER(C45)),C45&lt;DATE(2000,1,1),C45&gt;DATE(2100,12,31)),"Conferir data",IF(OR(D45="",E45=""),"Informe tipo e descrição",IF(AND(F45&lt;&gt;"Pendente",F45&lt;&gt;"Em conferência",F45&lt;&gt;"Conferido"),"Conferir situação","Válido")))))))</x:f>
      </x:c>
      <x:c r="H45" s="48" t="str">
        <x:f>IF(AND(ISNUMBER(C45),C45&gt;=DATE(2000,1,1)),DATE(YEAR(C45),MONTH(C45),1),"")</x:f>
      </x:c>
    </x:row>
    <x:row r="46" ht="42" customHeight="1">
      <x:c r="A46" s="25"/>
      <x:c r="B46" s="25"/>
      <x:c r="C46" s="33"/>
      <x:c r="D46" s="25"/>
      <x:c r="E46" s="51"/>
      <x:c r="F46" s="25"/>
      <x:c r="G46" s="26" t="str">
        <x:f>IF(COUNTA(A46:F46)=0,"",IF(A46="","Informe ID",IF(COUNTIFS($A$7:$A$56,A46)&lt;&gt;1,"Duplicado: ID",IF(COUNTIFS(Auxiliar!$A$9:$A$58,B46)&lt;&gt;1,"Conferir veículo",IF(OR(NOT(ISNUMBER(C46)),C46&lt;DATE(2000,1,1),C46&gt;DATE(2100,12,31)),"Conferir data",IF(OR(D46="",E46=""),"Informe tipo e descrição",IF(AND(F46&lt;&gt;"Pendente",F46&lt;&gt;"Em conferência",F46&lt;&gt;"Conferido"),"Conferir situação","Válido")))))))</x:f>
      </x:c>
      <x:c r="H46" s="48" t="str">
        <x:f>IF(AND(ISNUMBER(C46),C46&gt;=DATE(2000,1,1)),DATE(YEAR(C46),MONTH(C46),1),"")</x:f>
      </x:c>
    </x:row>
    <x:row r="47" ht="42" customHeight="1">
      <x:c r="A47" s="25"/>
      <x:c r="B47" s="25"/>
      <x:c r="C47" s="33"/>
      <x:c r="D47" s="25"/>
      <x:c r="E47" s="51"/>
      <x:c r="F47" s="25"/>
      <x:c r="G47" s="26" t="str">
        <x:f>IF(COUNTA(A47:F47)=0,"",IF(A47="","Informe ID",IF(COUNTIFS($A$7:$A$56,A47)&lt;&gt;1,"Duplicado: ID",IF(COUNTIFS(Auxiliar!$A$9:$A$58,B47)&lt;&gt;1,"Conferir veículo",IF(OR(NOT(ISNUMBER(C47)),C47&lt;DATE(2000,1,1),C47&gt;DATE(2100,12,31)),"Conferir data",IF(OR(D47="",E47=""),"Informe tipo e descrição",IF(AND(F47&lt;&gt;"Pendente",F47&lt;&gt;"Em conferência",F47&lt;&gt;"Conferido"),"Conferir situação","Válido")))))))</x:f>
      </x:c>
      <x:c r="H47" s="48" t="str">
        <x:f>IF(AND(ISNUMBER(C47),C47&gt;=DATE(2000,1,1)),DATE(YEAR(C47),MONTH(C47),1),"")</x:f>
      </x:c>
    </x:row>
    <x:row r="48" ht="42" customHeight="1">
      <x:c r="A48" s="25"/>
      <x:c r="B48" s="25"/>
      <x:c r="C48" s="33"/>
      <x:c r="D48" s="25"/>
      <x:c r="E48" s="51"/>
      <x:c r="F48" s="25"/>
      <x:c r="G48" s="26" t="str">
        <x:f>IF(COUNTA(A48:F48)=0,"",IF(A48="","Informe ID",IF(COUNTIFS($A$7:$A$56,A48)&lt;&gt;1,"Duplicado: ID",IF(COUNTIFS(Auxiliar!$A$9:$A$58,B48)&lt;&gt;1,"Conferir veículo",IF(OR(NOT(ISNUMBER(C48)),C48&lt;DATE(2000,1,1),C48&gt;DATE(2100,12,31)),"Conferir data",IF(OR(D48="",E48=""),"Informe tipo e descrição",IF(AND(F48&lt;&gt;"Pendente",F48&lt;&gt;"Em conferência",F48&lt;&gt;"Conferido"),"Conferir situação","Válido")))))))</x:f>
      </x:c>
      <x:c r="H48" s="48" t="str">
        <x:f>IF(AND(ISNUMBER(C48),C48&gt;=DATE(2000,1,1)),DATE(YEAR(C48),MONTH(C48),1),"")</x:f>
      </x:c>
    </x:row>
    <x:row r="49" ht="42" customHeight="1">
      <x:c r="A49" s="25"/>
      <x:c r="B49" s="25"/>
      <x:c r="C49" s="33"/>
      <x:c r="D49" s="25"/>
      <x:c r="E49" s="51"/>
      <x:c r="F49" s="25"/>
      <x:c r="G49" s="26" t="str">
        <x:f>IF(COUNTA(A49:F49)=0,"",IF(A49="","Informe ID",IF(COUNTIFS($A$7:$A$56,A49)&lt;&gt;1,"Duplicado: ID",IF(COUNTIFS(Auxiliar!$A$9:$A$58,B49)&lt;&gt;1,"Conferir veículo",IF(OR(NOT(ISNUMBER(C49)),C49&lt;DATE(2000,1,1),C49&gt;DATE(2100,12,31)),"Conferir data",IF(OR(D49="",E49=""),"Informe tipo e descrição",IF(AND(F49&lt;&gt;"Pendente",F49&lt;&gt;"Em conferência",F49&lt;&gt;"Conferido"),"Conferir situação","Válido")))))))</x:f>
      </x:c>
      <x:c r="H49" s="48" t="str">
        <x:f>IF(AND(ISNUMBER(C49),C49&gt;=DATE(2000,1,1)),DATE(YEAR(C49),MONTH(C49),1),"")</x:f>
      </x:c>
    </x:row>
    <x:row r="50" ht="42" customHeight="1">
      <x:c r="A50" s="25"/>
      <x:c r="B50" s="25"/>
      <x:c r="C50" s="33"/>
      <x:c r="D50" s="25"/>
      <x:c r="E50" s="51"/>
      <x:c r="F50" s="25"/>
      <x:c r="G50" s="26" t="str">
        <x:f>IF(COUNTA(A50:F50)=0,"",IF(A50="","Informe ID",IF(COUNTIFS($A$7:$A$56,A50)&lt;&gt;1,"Duplicado: ID",IF(COUNTIFS(Auxiliar!$A$9:$A$58,B50)&lt;&gt;1,"Conferir veículo",IF(OR(NOT(ISNUMBER(C50)),C50&lt;DATE(2000,1,1),C50&gt;DATE(2100,12,31)),"Conferir data",IF(OR(D50="",E50=""),"Informe tipo e descrição",IF(AND(F50&lt;&gt;"Pendente",F50&lt;&gt;"Em conferência",F50&lt;&gt;"Conferido"),"Conferir situação","Válido")))))))</x:f>
      </x:c>
      <x:c r="H50" s="48" t="str">
        <x:f>IF(AND(ISNUMBER(C50),C50&gt;=DATE(2000,1,1)),DATE(YEAR(C50),MONTH(C50),1),"")</x:f>
      </x:c>
    </x:row>
    <x:row r="51" ht="42" customHeight="1">
      <x:c r="A51" s="25"/>
      <x:c r="B51" s="25"/>
      <x:c r="C51" s="33"/>
      <x:c r="D51" s="25"/>
      <x:c r="E51" s="51"/>
      <x:c r="F51" s="25"/>
      <x:c r="G51" s="26" t="str">
        <x:f>IF(COUNTA(A51:F51)=0,"",IF(A51="","Informe ID",IF(COUNTIFS($A$7:$A$56,A51)&lt;&gt;1,"Duplicado: ID",IF(COUNTIFS(Auxiliar!$A$9:$A$58,B51)&lt;&gt;1,"Conferir veículo",IF(OR(NOT(ISNUMBER(C51)),C51&lt;DATE(2000,1,1),C51&gt;DATE(2100,12,31)),"Conferir data",IF(OR(D51="",E51=""),"Informe tipo e descrição",IF(AND(F51&lt;&gt;"Pendente",F51&lt;&gt;"Em conferência",F51&lt;&gt;"Conferido"),"Conferir situação","Válido")))))))</x:f>
      </x:c>
      <x:c r="H51" s="48" t="str">
        <x:f>IF(AND(ISNUMBER(C51),C51&gt;=DATE(2000,1,1)),DATE(YEAR(C51),MONTH(C51),1),"")</x:f>
      </x:c>
    </x:row>
    <x:row r="52" ht="42" customHeight="1">
      <x:c r="A52" s="25"/>
      <x:c r="B52" s="25"/>
      <x:c r="C52" s="33"/>
      <x:c r="D52" s="25"/>
      <x:c r="E52" s="51"/>
      <x:c r="F52" s="25"/>
      <x:c r="G52" s="26" t="str">
        <x:f>IF(COUNTA(A52:F52)=0,"",IF(A52="","Informe ID",IF(COUNTIFS($A$7:$A$56,A52)&lt;&gt;1,"Duplicado: ID",IF(COUNTIFS(Auxiliar!$A$9:$A$58,B52)&lt;&gt;1,"Conferir veículo",IF(OR(NOT(ISNUMBER(C52)),C52&lt;DATE(2000,1,1),C52&gt;DATE(2100,12,31)),"Conferir data",IF(OR(D52="",E52=""),"Informe tipo e descrição",IF(AND(F52&lt;&gt;"Pendente",F52&lt;&gt;"Em conferência",F52&lt;&gt;"Conferido"),"Conferir situação","Válido")))))))</x:f>
      </x:c>
      <x:c r="H52" s="48" t="str">
        <x:f>IF(AND(ISNUMBER(C52),C52&gt;=DATE(2000,1,1)),DATE(YEAR(C52),MONTH(C52),1),"")</x:f>
      </x:c>
    </x:row>
    <x:row r="53" ht="42" customHeight="1">
      <x:c r="A53" s="25"/>
      <x:c r="B53" s="25"/>
      <x:c r="C53" s="33"/>
      <x:c r="D53" s="25"/>
      <x:c r="E53" s="51"/>
      <x:c r="F53" s="25"/>
      <x:c r="G53" s="26" t="str">
        <x:f>IF(COUNTA(A53:F53)=0,"",IF(A53="","Informe ID",IF(COUNTIFS($A$7:$A$56,A53)&lt;&gt;1,"Duplicado: ID",IF(COUNTIFS(Auxiliar!$A$9:$A$58,B53)&lt;&gt;1,"Conferir veículo",IF(OR(NOT(ISNUMBER(C53)),C53&lt;DATE(2000,1,1),C53&gt;DATE(2100,12,31)),"Conferir data",IF(OR(D53="",E53=""),"Informe tipo e descrição",IF(AND(F53&lt;&gt;"Pendente",F53&lt;&gt;"Em conferência",F53&lt;&gt;"Conferido"),"Conferir situação","Válido")))))))</x:f>
      </x:c>
      <x:c r="H53" s="48" t="str">
        <x:f>IF(AND(ISNUMBER(C53),C53&gt;=DATE(2000,1,1)),DATE(YEAR(C53),MONTH(C53),1),"")</x:f>
      </x:c>
    </x:row>
    <x:row r="54" ht="42" customHeight="1">
      <x:c r="A54" s="25"/>
      <x:c r="B54" s="25"/>
      <x:c r="C54" s="33"/>
      <x:c r="D54" s="25"/>
      <x:c r="E54" s="51"/>
      <x:c r="F54" s="25"/>
      <x:c r="G54" s="26" t="str">
        <x:f>IF(COUNTA(A54:F54)=0,"",IF(A54="","Informe ID",IF(COUNTIFS($A$7:$A$56,A54)&lt;&gt;1,"Duplicado: ID",IF(COUNTIFS(Auxiliar!$A$9:$A$58,B54)&lt;&gt;1,"Conferir veículo",IF(OR(NOT(ISNUMBER(C54)),C54&lt;DATE(2000,1,1),C54&gt;DATE(2100,12,31)),"Conferir data",IF(OR(D54="",E54=""),"Informe tipo e descrição",IF(AND(F54&lt;&gt;"Pendente",F54&lt;&gt;"Em conferência",F54&lt;&gt;"Conferido"),"Conferir situação","Válido")))))))</x:f>
      </x:c>
      <x:c r="H54" s="48" t="str">
        <x:f>IF(AND(ISNUMBER(C54),C54&gt;=DATE(2000,1,1)),DATE(YEAR(C54),MONTH(C54),1),"")</x:f>
      </x:c>
    </x:row>
    <x:row r="55" ht="42" customHeight="1">
      <x:c r="A55" s="25"/>
      <x:c r="B55" s="25"/>
      <x:c r="C55" s="33"/>
      <x:c r="D55" s="25"/>
      <x:c r="E55" s="51"/>
      <x:c r="F55" s="25"/>
      <x:c r="G55" s="26" t="str">
        <x:f>IF(COUNTA(A55:F55)=0,"",IF(A55="","Informe ID",IF(COUNTIFS($A$7:$A$56,A55)&lt;&gt;1,"Duplicado: ID",IF(COUNTIFS(Auxiliar!$A$9:$A$58,B55)&lt;&gt;1,"Conferir veículo",IF(OR(NOT(ISNUMBER(C55)),C55&lt;DATE(2000,1,1),C55&gt;DATE(2100,12,31)),"Conferir data",IF(OR(D55="",E55=""),"Informe tipo e descrição",IF(AND(F55&lt;&gt;"Pendente",F55&lt;&gt;"Em conferência",F55&lt;&gt;"Conferido"),"Conferir situação","Válido")))))))</x:f>
      </x:c>
      <x:c r="H55" s="48" t="str">
        <x:f>IF(AND(ISNUMBER(C55),C55&gt;=DATE(2000,1,1)),DATE(YEAR(C55),MONTH(C55),1),"")</x:f>
      </x:c>
    </x:row>
    <x:row r="56" ht="42" customHeight="1">
      <x:c r="A56" s="27"/>
      <x:c r="B56" s="27"/>
      <x:c r="C56" s="34"/>
      <x:c r="D56" s="27"/>
      <x:c r="E56" s="52"/>
      <x:c r="F56" s="27"/>
      <x:c r="G56" s="28" t="str">
        <x:f>IF(COUNTA(A56:F56)=0,"",IF(A56="","Informe ID",IF(COUNTIFS($A$7:$A$56,A56)&lt;&gt;1,"Duplicado: ID",IF(COUNTIFS(Auxiliar!$A$9:$A$58,B56)&lt;&gt;1,"Conferir veículo",IF(OR(NOT(ISNUMBER(C56)),C56&lt;DATE(2000,1,1),C56&gt;DATE(2100,12,31)),"Conferir data",IF(OR(D56="",E56=""),"Informe tipo e descrição",IF(AND(F56&lt;&gt;"Pendente",F56&lt;&gt;"Em conferência",F56&lt;&gt;"Conferido"),"Conferir situação","Válido")))))))</x:f>
      </x:c>
      <x:c r="H56" s="49" t="str">
        <x:f>IF(AND(ISNUMBER(C56),C56&gt;=DATE(2000,1,1)),DATE(YEAR(C56),MONTH(C56),1),"")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</x:row>
  </x:sheetData>
  <x:conditionalFormatting sqref="G7:G56">
    <x:cfRule type="containsText" dxfId="4" priority="1" operator="containsText" text="Conferir"/>
    <x:cfRule type="containsText" dxfId="5" priority="2" operator="containsText" text="Informe"/>
    <x:cfRule type="containsText" dxfId="6" priority="3" operator="containsText" text="Duplicado"/>
    <x:cfRule type="containsText" dxfId="7" priority="4" operator="containsText" text="Em atraso"/>
  </x:conditionalFormatting>
  <x:dataValidations count="4">
    <x:dataValidation type="date" operator="between" sqref="C7:C56">
      <x:formula1>36526</x:formula1>
      <x:formula2>73415</x:formula2>
    </x:dataValidation>
    <x:dataValidation type="list" sqref="B7:B56">
      <x:formula1>Auxiliar!$A$9:$A$58</x:formula1>
    </x:dataValidation>
    <x:dataValidation type="list" sqref="D7:D56">
      <x:formula1>"Abastecimento,Hodômetro,Documento,Manutenção,Outro"</x:formula1>
    </x:dataValidation>
    <x:dataValidation type="list" sqref="F7:F56">
      <x:formula1>"Pendente,Em conferência,Conferido"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c37bb60cac414d"/>
  </x:tableParts>
</x:worksheet>
</file>

<file path=xl/worksheets/sheet4.xml><?xml version="1.0" encoding="utf-8"?>
<x:worksheet xmlns:x="http://schemas.openxmlformats.org/spreadsheetml/2006/main">
  <x:sheetPr>
    <x:tabColor rgb="FF9BAF9A"/>
  </x:sheetPr>
  <x:sheetViews>
    <x:sheetView showGridLines="0" workbookViewId="0"/>
  </x:sheetViews>
  <x:sheetFormatPr defaultRowHeight="15"/>
  <x:cols>
    <x:col min="1" max="1" width="29" hidden="0" customWidth="1"/>
    <x:col min="2" max="2" width="32" hidden="0" customWidth="1"/>
    <x:col min="3" max="3" width="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Configurações e cadastros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3" t="str">
        <x:v>Data de referência</x:v>
      </x:c>
      <x:c r="B4" s="8" t="n">
        <x:v>46282</x:v>
      </x:c>
      <x:c r="C4" s="3"/>
      <x:c r="D4" s="3" t="str">
        <x:v>Edite as células amarelas.</x:v>
      </x:c>
      <x:c r="E4" s="3"/>
      <x:c r="F4" s="3"/>
      <x:c r="G4" s="3"/>
      <x:c r="H4" s="3"/>
    </x:row>
    <x:row r="5" ht="25" customHeight="1">
      <x:c r="A5" s="3" t="str">
        <x:v>Mês do painel</x:v>
      </x:c>
      <x:c r="B5" s="9" t="n">
        <x:v>46266</x:v>
      </x:c>
      <x:c r="C5" s="3"/>
      <x:c r="D5" s="3" t="str">
        <x:v>Cálculos aparecem em verde-claro.</x:v>
      </x:c>
      <x:c r="E5" s="3"/>
      <x:c r="F5" s="3"/>
      <x:c r="G5" s="3"/>
      <x:c r="H5" s="3"/>
    </x:row>
    <x:row r="6" ht="25" customHeight="1">
      <x:c r="A6" s="3"/>
      <x:c r="B6" s="3"/>
      <x:c r="C6" s="3"/>
      <x:c r="D6" s="3"/>
      <x:c r="E6" s="3"/>
      <x:c r="F6" s="3"/>
      <x:c r="G6" s="3"/>
      <x:c r="H6" s="3"/>
    </x:row>
    <x:row r="7" ht="25" customHeight="1">
      <x:c r="A7" s="3"/>
      <x:c r="B7" s="3"/>
      <x:c r="C7" s="3"/>
      <x:c r="D7" s="3"/>
      <x:c r="E7" s="3"/>
      <x:c r="F7" s="3"/>
      <x:c r="G7" s="3"/>
      <x:c r="H7" s="3"/>
    </x:row>
    <x:row r="8" ht="46" customHeight="1">
      <x:c r="A8" s="16" t="str">
        <x:v>ID do veículo</x:v>
      </x:c>
      <x:c r="B8" s="17" t="str">
        <x:v>Descrição</x:v>
      </x:c>
      <x:c r="C8" s="3"/>
      <x:c r="D8" s="16" t="str">
        <x:v>Condição do intervalo</x:v>
      </x:c>
      <x:c r="E8" s="17" t="str">
        <x:v>Situação da ocorrência</x:v>
      </x:c>
      <x:c r="F8" s="3"/>
      <x:c r="G8" s="3"/>
      <x:c r="H8" s="3"/>
    </x:row>
    <x:row r="9" ht="25" customHeight="1">
      <x:c r="A9" s="6" t="str">
        <x:v>FR-01</x:v>
      </x:c>
      <x:c r="B9" s="6" t="str">
        <x:v>Veículo 01</x:v>
      </x:c>
      <x:c r="C9" s="3"/>
      <x:c r="D9" s="3" t="str">
        <x:v>Sim</x:v>
      </x:c>
      <x:c r="E9" s="3" t="str">
        <x:v>Pendente</x:v>
      </x:c>
      <x:c r="F9" s="3"/>
      <x:c r="G9" s="3"/>
      <x:c r="H9" s="3"/>
    </x:row>
    <x:row r="10" ht="25" customHeight="1">
      <x:c r="A10" s="6" t="str">
        <x:v>FR-02</x:v>
      </x:c>
      <x:c r="B10" s="6" t="str">
        <x:v>Veículo 02</x:v>
      </x:c>
      <x:c r="C10" s="3"/>
      <x:c r="D10" s="3" t="str">
        <x:v>Não</x:v>
      </x:c>
      <x:c r="E10" s="3" t="str">
        <x:v>Em conferência</x:v>
      </x:c>
      <x:c r="F10" s="3"/>
      <x:c r="G10" s="3"/>
      <x:c r="H10" s="3"/>
    </x:row>
    <x:row r="11" ht="25" customHeight="1">
      <x:c r="A11" s="6" t="str">
        <x:v>FR-03</x:v>
      </x:c>
      <x:c r="B11" s="6" t="str">
        <x:v>Veículo 03</x:v>
      </x:c>
      <x:c r="C11" s="3"/>
      <x:c r="D11" s="3"/>
      <x:c r="E11" s="3" t="str">
        <x:v>Conferido</x:v>
      </x:c>
      <x:c r="F11" s="3"/>
      <x:c r="G11" s="3"/>
      <x:c r="H11" s="3"/>
    </x:row>
    <x:row r="12" ht="25" customHeight="1">
      <x:c r="A12" s="6"/>
      <x:c r="B12" s="6"/>
      <x:c r="C12" s="3"/>
      <x:c r="D12" s="3"/>
      <x:c r="E12" s="3"/>
      <x:c r="F12" s="3"/>
      <x:c r="G12" s="3"/>
      <x:c r="H12" s="3"/>
    </x:row>
    <x:row r="13" ht="25" customHeight="1">
      <x:c r="A13" s="6"/>
      <x:c r="B13" s="6"/>
      <x:c r="C13" s="3"/>
      <x:c r="D13" s="3"/>
      <x:c r="E13" s="3"/>
      <x:c r="F13" s="3"/>
      <x:c r="G13" s="3"/>
      <x:c r="H13" s="3"/>
    </x:row>
    <x:row r="14" ht="25" customHeight="1">
      <x:c r="A14" s="6"/>
      <x:c r="B14" s="6"/>
      <x:c r="C14" s="3"/>
      <x:c r="D14" s="3"/>
      <x:c r="E14" s="3"/>
      <x:c r="F14" s="3"/>
      <x:c r="G14" s="3"/>
      <x:c r="H14" s="3"/>
    </x:row>
    <x:row r="15" ht="25" customHeight="1">
      <x:c r="A15" s="6"/>
      <x:c r="B15" s="6"/>
      <x:c r="C15" s="3"/>
      <x:c r="D15" s="3"/>
      <x:c r="E15" s="3"/>
      <x:c r="F15" s="3"/>
      <x:c r="G15" s="3"/>
      <x:c r="H15" s="3"/>
    </x:row>
    <x:row r="16" ht="25" customHeight="1">
      <x:c r="A16" s="6"/>
      <x:c r="B16" s="6"/>
      <x:c r="C16" s="3"/>
      <x:c r="D16" s="3"/>
      <x:c r="E16" s="3"/>
      <x:c r="F16" s="3"/>
      <x:c r="G16" s="3"/>
      <x:c r="H16" s="3"/>
    </x:row>
    <x:row r="17" ht="25" customHeight="1">
      <x:c r="A17" s="6"/>
      <x:c r="B17" s="6"/>
      <x:c r="C17" s="3"/>
      <x:c r="D17" s="3"/>
      <x:c r="E17" s="3"/>
      <x:c r="F17" s="3"/>
      <x:c r="G17" s="3"/>
      <x:c r="H17" s="3"/>
    </x:row>
    <x:row r="18" ht="25" customHeight="1">
      <x:c r="A18" s="6"/>
      <x:c r="B18" s="6"/>
      <x:c r="C18" s="3"/>
      <x:c r="D18" s="3"/>
      <x:c r="E18" s="3"/>
      <x:c r="F18" s="3"/>
      <x:c r="G18" s="3"/>
      <x:c r="H18" s="3"/>
    </x:row>
    <x:row r="19" ht="25" customHeight="1">
      <x:c r="A19" s="6"/>
      <x:c r="B19" s="6"/>
      <x:c r="C19" s="3"/>
      <x:c r="D19" s="3"/>
      <x:c r="E19" s="3"/>
      <x:c r="F19" s="3"/>
      <x:c r="G19" s="3"/>
      <x:c r="H19" s="3"/>
    </x:row>
    <x:row r="20" ht="25" customHeight="1">
      <x:c r="A20" s="6"/>
      <x:c r="B20" s="6"/>
      <x:c r="C20" s="3"/>
      <x:c r="D20" s="3"/>
      <x:c r="E20" s="3"/>
      <x:c r="F20" s="3"/>
      <x:c r="G20" s="3"/>
      <x:c r="H20" s="3"/>
    </x:row>
    <x:row r="21" ht="25" customHeight="1">
      <x:c r="A21" s="6"/>
      <x:c r="B21" s="6"/>
      <x:c r="C21" s="3"/>
      <x:c r="D21" s="3"/>
      <x:c r="E21" s="3"/>
      <x:c r="F21" s="3"/>
      <x:c r="G21" s="3"/>
      <x:c r="H21" s="3"/>
    </x:row>
    <x:row r="22" ht="25" customHeight="1">
      <x:c r="A22" s="6"/>
      <x:c r="B22" s="6"/>
      <x:c r="C22" s="3"/>
      <x:c r="D22" s="3"/>
      <x:c r="E22" s="3"/>
      <x:c r="F22" s="3"/>
      <x:c r="G22" s="3"/>
      <x:c r="H22" s="3"/>
    </x:row>
    <x:row r="23" ht="25" customHeight="1">
      <x:c r="A23" s="6"/>
      <x:c r="B23" s="6"/>
      <x:c r="C23" s="3"/>
      <x:c r="D23" s="3"/>
      <x:c r="E23" s="3"/>
      <x:c r="F23" s="3"/>
      <x:c r="G23" s="3"/>
      <x:c r="H23" s="3"/>
    </x:row>
    <x:row r="24" ht="25" customHeight="1">
      <x:c r="A24" s="6"/>
      <x:c r="B24" s="6"/>
      <x:c r="C24" s="3"/>
      <x:c r="D24" s="3"/>
      <x:c r="E24" s="3"/>
      <x:c r="F24" s="3"/>
      <x:c r="G24" s="3"/>
      <x:c r="H24" s="3"/>
    </x:row>
    <x:row r="25" ht="25" customHeight="1">
      <x:c r="A25" s="6"/>
      <x:c r="B25" s="6"/>
      <x:c r="C25" s="3"/>
      <x:c r="D25" s="3"/>
      <x:c r="E25" s="3"/>
      <x:c r="F25" s="3"/>
      <x:c r="G25" s="3"/>
      <x:c r="H25" s="3"/>
    </x:row>
    <x:row r="26" ht="25" customHeight="1">
      <x:c r="A26" s="6"/>
      <x:c r="B26" s="6"/>
      <x:c r="C26" s="3"/>
      <x:c r="D26" s="3"/>
      <x:c r="E26" s="3"/>
      <x:c r="F26" s="3"/>
      <x:c r="G26" s="3"/>
      <x:c r="H26" s="3"/>
    </x:row>
    <x:row r="27" ht="25" customHeight="1">
      <x:c r="A27" s="6"/>
      <x:c r="B27" s="6"/>
      <x:c r="C27" s="3"/>
      <x:c r="D27" s="3"/>
      <x:c r="E27" s="3"/>
      <x:c r="F27" s="3"/>
      <x:c r="G27" s="3"/>
      <x:c r="H27" s="3"/>
    </x:row>
    <x:row r="28" ht="25" customHeight="1">
      <x:c r="A28" s="6"/>
      <x:c r="B28" s="6"/>
      <x:c r="C28" s="3"/>
      <x:c r="D28" s="3"/>
      <x:c r="E28" s="3"/>
      <x:c r="F28" s="3"/>
      <x:c r="G28" s="3"/>
      <x:c r="H28" s="3"/>
    </x:row>
    <x:row r="29" ht="25" customHeight="1">
      <x:c r="A29" s="6"/>
      <x:c r="B29" s="6"/>
      <x:c r="C29" s="3"/>
      <x:c r="D29" s="3"/>
      <x:c r="E29" s="3"/>
      <x:c r="F29" s="3"/>
      <x:c r="G29" s="3"/>
      <x:c r="H29" s="3"/>
    </x:row>
    <x:row r="30" ht="25" customHeight="1">
      <x:c r="A30" s="6"/>
      <x:c r="B30" s="6"/>
      <x:c r="C30" s="3"/>
      <x:c r="D30" s="3"/>
      <x:c r="E30" s="3"/>
      <x:c r="F30" s="3"/>
      <x:c r="G30" s="3"/>
      <x:c r="H30" s="3"/>
    </x:row>
    <x:row r="31" ht="25" customHeight="1">
      <x:c r="A31" s="6"/>
      <x:c r="B31" s="6"/>
      <x:c r="C31" s="3"/>
      <x:c r="D31" s="3"/>
      <x:c r="E31" s="3"/>
      <x:c r="F31" s="3"/>
      <x:c r="G31" s="3"/>
      <x:c r="H31" s="3"/>
    </x:row>
    <x:row r="32" ht="25" customHeight="1">
      <x:c r="A32" s="6"/>
      <x:c r="B32" s="6"/>
      <x:c r="C32" s="3"/>
      <x:c r="D32" s="3"/>
      <x:c r="E32" s="3"/>
      <x:c r="F32" s="3"/>
      <x:c r="G32" s="3"/>
      <x:c r="H32" s="3"/>
    </x:row>
    <x:row r="33" ht="25" customHeight="1">
      <x:c r="A33" s="6"/>
      <x:c r="B33" s="6"/>
      <x:c r="C33" s="3"/>
      <x:c r="D33" s="3"/>
      <x:c r="E33" s="3"/>
      <x:c r="F33" s="3"/>
      <x:c r="G33" s="3"/>
      <x:c r="H33" s="3"/>
    </x:row>
    <x:row r="34" ht="25" customHeight="1">
      <x:c r="A34" s="6"/>
      <x:c r="B34" s="6"/>
      <x:c r="C34" s="3"/>
      <x:c r="D34" s="3"/>
      <x:c r="E34" s="3"/>
      <x:c r="F34" s="3"/>
      <x:c r="G34" s="3"/>
      <x:c r="H34" s="3"/>
    </x:row>
    <x:row r="35" ht="25" customHeight="1">
      <x:c r="A35" s="6"/>
      <x:c r="B35" s="6"/>
      <x:c r="C35" s="3"/>
      <x:c r="D35" s="3"/>
      <x:c r="E35" s="3"/>
      <x:c r="F35" s="3"/>
      <x:c r="G35" s="3"/>
      <x:c r="H35" s="3"/>
    </x:row>
    <x:row r="36" ht="25" customHeight="1">
      <x:c r="A36" s="6"/>
      <x:c r="B36" s="6"/>
      <x:c r="C36" s="3"/>
      <x:c r="D36" s="3"/>
      <x:c r="E36" s="3"/>
      <x:c r="F36" s="3"/>
      <x:c r="G36" s="3"/>
      <x:c r="H36" s="3"/>
    </x:row>
    <x:row r="37" ht="25" customHeight="1">
      <x:c r="A37" s="6"/>
      <x:c r="B37" s="6"/>
      <x:c r="C37" s="3"/>
      <x:c r="D37" s="3"/>
      <x:c r="E37" s="3"/>
      <x:c r="F37" s="3"/>
      <x:c r="G37" s="3"/>
      <x:c r="H37" s="3"/>
    </x:row>
    <x:row r="38" ht="25" customHeight="1">
      <x:c r="A38" s="6"/>
      <x:c r="B38" s="6"/>
      <x:c r="C38" s="3"/>
      <x:c r="D38" s="3"/>
      <x:c r="E38" s="3"/>
      <x:c r="F38" s="3"/>
      <x:c r="G38" s="3"/>
      <x:c r="H38" s="3"/>
    </x:row>
    <x:row r="39" ht="25" customHeight="1">
      <x:c r="A39" s="6"/>
      <x:c r="B39" s="6"/>
      <x:c r="C39" s="3"/>
      <x:c r="D39" s="3"/>
      <x:c r="E39" s="3"/>
      <x:c r="F39" s="3"/>
      <x:c r="G39" s="3"/>
      <x:c r="H39" s="3"/>
    </x:row>
    <x:row r="40" ht="25" customHeight="1">
      <x:c r="A40" s="6"/>
      <x:c r="B40" s="6"/>
      <x:c r="C40" s="3"/>
      <x:c r="D40" s="3"/>
      <x:c r="E40" s="3"/>
      <x:c r="F40" s="3"/>
      <x:c r="G40" s="3"/>
      <x:c r="H40" s="3"/>
    </x:row>
    <x:row r="41" ht="25" customHeight="1">
      <x:c r="A41" s="6"/>
      <x:c r="B41" s="6"/>
      <x:c r="C41" s="3"/>
      <x:c r="D41" s="3"/>
      <x:c r="E41" s="3"/>
      <x:c r="F41" s="3"/>
      <x:c r="G41" s="3"/>
      <x:c r="H41" s="3"/>
    </x:row>
    <x:row r="42" ht="25" customHeight="1">
      <x:c r="A42" s="6"/>
      <x:c r="B42" s="6"/>
      <x:c r="C42" s="3"/>
      <x:c r="D42" s="3"/>
      <x:c r="E42" s="3"/>
      <x:c r="F42" s="3"/>
      <x:c r="G42" s="3"/>
      <x:c r="H42" s="3"/>
    </x:row>
    <x:row r="43" ht="25" customHeight="1">
      <x:c r="A43" s="6"/>
      <x:c r="B43" s="6"/>
      <x:c r="C43" s="3"/>
      <x:c r="D43" s="3"/>
      <x:c r="E43" s="3"/>
      <x:c r="F43" s="3"/>
      <x:c r="G43" s="3"/>
      <x:c r="H43" s="3"/>
    </x:row>
    <x:row r="44" ht="25" customHeight="1">
      <x:c r="A44" s="6"/>
      <x:c r="B44" s="6"/>
      <x:c r="C44" s="3"/>
      <x:c r="D44" s="3"/>
      <x:c r="E44" s="3"/>
      <x:c r="F44" s="3"/>
      <x:c r="G44" s="3"/>
      <x:c r="H44" s="3"/>
    </x:row>
    <x:row r="45" ht="25" customHeight="1">
      <x:c r="A45" s="6"/>
      <x:c r="B45" s="6"/>
      <x:c r="C45" s="3"/>
      <x:c r="D45" s="3"/>
      <x:c r="E45" s="3"/>
      <x:c r="F45" s="3"/>
      <x:c r="G45" s="3"/>
      <x:c r="H45" s="3"/>
    </x:row>
    <x:row r="46" ht="25" customHeight="1">
      <x:c r="A46" s="6"/>
      <x:c r="B46" s="6"/>
      <x:c r="C46" s="3"/>
      <x:c r="D46" s="3"/>
      <x:c r="E46" s="3"/>
      <x:c r="F46" s="3"/>
      <x:c r="G46" s="3"/>
      <x:c r="H46" s="3"/>
    </x:row>
    <x:row r="47" ht="25" customHeight="1">
      <x:c r="A47" s="6"/>
      <x:c r="B47" s="6"/>
      <x:c r="C47" s="3"/>
      <x:c r="D47" s="3"/>
      <x:c r="E47" s="3"/>
      <x:c r="F47" s="3"/>
      <x:c r="G47" s="3"/>
      <x:c r="H47" s="3"/>
    </x:row>
    <x:row r="48" ht="25" customHeight="1">
      <x:c r="A48" s="6"/>
      <x:c r="B48" s="6"/>
      <x:c r="C48" s="3"/>
      <x:c r="D48" s="3"/>
      <x:c r="E48" s="3"/>
      <x:c r="F48" s="3"/>
      <x:c r="G48" s="3"/>
      <x:c r="H48" s="3"/>
    </x:row>
    <x:row r="49" ht="25" customHeight="1">
      <x:c r="A49" s="6"/>
      <x:c r="B49" s="6"/>
      <x:c r="C49" s="3"/>
      <x:c r="D49" s="3"/>
      <x:c r="E49" s="3"/>
      <x:c r="F49" s="3"/>
      <x:c r="G49" s="3"/>
      <x:c r="H49" s="3"/>
    </x:row>
    <x:row r="50" ht="25" customHeight="1">
      <x:c r="A50" s="6"/>
      <x:c r="B50" s="6"/>
      <x:c r="C50" s="3"/>
      <x:c r="D50" s="3"/>
      <x:c r="E50" s="3"/>
      <x:c r="F50" s="3"/>
      <x:c r="G50" s="3"/>
      <x:c r="H50" s="3"/>
    </x:row>
    <x:row r="51" ht="25" customHeight="1">
      <x:c r="A51" s="6"/>
      <x:c r="B51" s="6"/>
      <x:c r="C51" s="3"/>
      <x:c r="D51" s="3"/>
      <x:c r="E51" s="3"/>
      <x:c r="F51" s="3"/>
      <x:c r="G51" s="3"/>
      <x:c r="H51" s="3"/>
    </x:row>
    <x:row r="52" ht="25" customHeight="1">
      <x:c r="A52" s="6"/>
      <x:c r="B52" s="6"/>
      <x:c r="C52" s="3"/>
      <x:c r="D52" s="3"/>
      <x:c r="E52" s="3"/>
      <x:c r="F52" s="3"/>
      <x:c r="G52" s="3"/>
      <x:c r="H52" s="3"/>
    </x:row>
    <x:row r="53" ht="25" customHeight="1">
      <x:c r="A53" s="6"/>
      <x:c r="B53" s="6"/>
      <x:c r="C53" s="3"/>
      <x:c r="D53" s="3"/>
      <x:c r="E53" s="3"/>
      <x:c r="F53" s="3"/>
      <x:c r="G53" s="3"/>
      <x:c r="H53" s="3"/>
    </x:row>
    <x:row r="54" ht="25" customHeight="1">
      <x:c r="A54" s="6"/>
      <x:c r="B54" s="6"/>
      <x:c r="C54" s="3"/>
      <x:c r="D54" s="3"/>
      <x:c r="E54" s="3"/>
      <x:c r="F54" s="3"/>
      <x:c r="G54" s="3"/>
      <x:c r="H54" s="3"/>
    </x:row>
    <x:row r="55" ht="25" customHeight="1">
      <x:c r="A55" s="6"/>
      <x:c r="B55" s="6"/>
      <x:c r="C55" s="3"/>
      <x:c r="D55" s="3"/>
      <x:c r="E55" s="3"/>
      <x:c r="F55" s="3"/>
      <x:c r="G55" s="3"/>
      <x:c r="H55" s="3"/>
    </x:row>
    <x:row r="56" ht="25" customHeight="1">
      <x:c r="A56" s="6"/>
      <x:c r="B56" s="6"/>
      <x:c r="C56" s="3"/>
      <x:c r="D56" s="3"/>
      <x:c r="E56" s="3"/>
      <x:c r="F56" s="3"/>
      <x:c r="G56" s="3"/>
      <x:c r="H56" s="3"/>
    </x:row>
    <x:row r="57" ht="25" customHeight="1">
      <x:c r="A57" s="6"/>
      <x:c r="B57" s="6"/>
      <x:c r="C57" s="3"/>
      <x:c r="D57" s="3"/>
      <x:c r="E57" s="3"/>
      <x:c r="F57" s="3"/>
      <x:c r="G57" s="3"/>
      <x:c r="H57" s="3"/>
    </x:row>
    <x:row r="58" ht="25" customHeight="1">
      <x:c r="A58" s="6"/>
      <x:c r="B58" s="6"/>
      <x:c r="C58" s="3"/>
      <x:c r="D58" s="3"/>
      <x:c r="E58" s="3"/>
      <x:c r="F58" s="3"/>
      <x:c r="G58" s="3"/>
      <x:c r="H58" s="3"/>
    </x:row>
  </x:sheetData>
  <x:dataValidations count="1">
    <x:dataValidation type="date" operator="between" sqref="B4:B5">
      <x:formula1>36526</x:formula1>
      <x:formula2>73415</x:formula2>
    </x:dataValidation>
  </x:dataValidations>
  <x:pageMargins left="0.7" right="0.7" top="0.75" bottom="0.75" header="0.3" footer="0.3"/>
</x:worksheet>
</file>