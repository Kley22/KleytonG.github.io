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93f445023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4068b288ea35461b"/>
    <x:sheet xmlns:r="http://schemas.openxmlformats.org/officeDocument/2006/relationships" name="Contratos" sheetId="2" r:id="Rb090e4394c1e4638"/>
    <x:sheet xmlns:r="http://schemas.openxmlformats.org/officeDocument/2006/relationships" name="Pagamentos" sheetId="3" r:id="Ree8ab14486ea498e"/>
    <x:sheet xmlns:r="http://schemas.openxmlformats.org/officeDocument/2006/relationships" name="Previsoes" sheetId="4" r:id="R7f56ef6d579e49a3"/>
    <x:sheet xmlns:r="http://schemas.openxmlformats.org/officeDocument/2006/relationships" name="Alteracoes" sheetId="5" r:id="R4f6d8633822345f5"/>
    <x:sheet xmlns:r="http://schemas.openxmlformats.org/officeDocument/2006/relationships" name="Auxiliar" sheetId="6" r:id="R80a8430519e3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mm/yyyy"/>
    <x:numFmt numFmtId="202" formatCode="mmm/yyyy"/>
    <x:numFmt numFmtId="203" formatCode="&quot;R$ &quot;#,##0.00;[Red](&quot;R$ &quot;#,##0.00);&quot;R$ &quot;0.00"/>
  </x:numFmts>
  <x:fonts count="8">
    <x:font>
      <x:sz val="11"/>
      <x:name val="Carlito"/>
    </x:font>
    <x:font>
      <x:sz val="11"/>
      <x:color rgb="FF243830"/>
      <x:name val="Arial"/>
    </x:font>
    <x:font>
      <x:b/>
      <x:sz val="16"/>
      <x:color rgb="FF204D40"/>
      <x:name val="Arial"/>
    </x:font>
    <x:font>
      <x:b/>
      <x:sz val="11"/>
      <x:color rgb="FFFFFFFF"/>
      <x:name val="Arial"/>
    </x:font>
    <x:font>
      <x:sz val="11"/>
      <x:color rgb="FF1751A2"/>
      <x:name val="Arial"/>
    </x:font>
    <x:font>
      <x:sz val="11"/>
      <x:color rgb="FF204D40"/>
      <x:name val="Arial"/>
    </x:font>
    <x:font>
      <x:sz val="10"/>
      <x:color rgb="FF566B5F"/>
      <x:name val="Arial"/>
    </x:font>
    <x:font>
      <x:b/>
      <x:sz val="11"/>
      <x:color rgb="FF204D4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5ED"/>
      </x:patternFill>
    </x:fill>
    <x:fill>
      <x:patternFill patternType="solid">
        <x:fgColor rgb="FF204D40"/>
      </x:patternFill>
    </x:fill>
    <x:fill>
      <x:patternFill patternType="solid">
        <x:fgColor rgb="FFFFF3CE"/>
      </x:patternFill>
    </x:fill>
    <x:fill>
      <x:patternFill patternType="solid">
        <x:fgColor rgb="FFEDF3EE"/>
      </x:patternFill>
    </x:fill>
  </x:fills>
  <x:borders count="2">
    <x:border/>
    <x:border>
      <x:bottom style="thin">
        <x:color rgb="FF204D4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horizontal="right" vertical="center"/>
    </x:xf>
    <x:xf numFmtId="203" fontId="1" fillId="6" borderId="0" xfId="0" applyNumberFormat="1" applyFont="1" applyFill="1" applyBorder="1" applyAlignment="1">
      <x:alignment horizontal="right" vertical="center"/>
    </x:xf>
    <x:xf numFmtId="203" fontId="5" fillId="6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64"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785910"/>
      </x:font>
      <x:fill>
        <x:patternFill patternType="solid">
          <x:bgColor rgb="FFFFF0C5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  <x:dxf>
      <x:font>
        <x:b/>
        <x:color rgb="FF922F25"/>
      </x:font>
      <x:fill>
        <x:patternFill patternType="solid">
          <x:bgColor rgb="FFFCE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bffb91b744700" /><Relationship Type="http://schemas.openxmlformats.org/officeDocument/2006/relationships/theme" Target="/xl/theme/theme1.xml" Id="R22521b7d3a6447d7" /><Relationship Type="http://schemas.openxmlformats.org/officeDocument/2006/relationships/sharedStrings" Target="/xl/sharedStrings.xml" Id="R80babcb789014266" /><Relationship Type="http://schemas.openxmlformats.org/officeDocument/2006/relationships/worksheet" Target="/xl/worksheets/sheet1.xml" Id="R4068b288ea35461b" /><Relationship Type="http://schemas.openxmlformats.org/officeDocument/2006/relationships/worksheet" Target="/xl/worksheets/sheet2.xml" Id="Rb090e4394c1e4638" /><Relationship Type="http://schemas.openxmlformats.org/officeDocument/2006/relationships/worksheet" Target="/xl/worksheets/sheet3.xml" Id="Ree8ab14486ea498e" /><Relationship Type="http://schemas.openxmlformats.org/officeDocument/2006/relationships/worksheet" Target="/xl/worksheets/sheet4.xml" Id="R7f56ef6d579e49a3" /><Relationship Type="http://schemas.openxmlformats.org/officeDocument/2006/relationships/worksheet" Target="/xl/worksheets/sheet5.xml" Id="R4f6d8633822345f5" /><Relationship Type="http://schemas.openxmlformats.org/officeDocument/2006/relationships/worksheet" Target="/xl/worksheets/sheet6.xml" Id="R80a8430519e34f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00b7a9ddde4d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Pago e em aberto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Valor (R$)</c:v>
          </c:tx>
          <c:cat>
            <c:strRef>
              <c:f>'Painel'!$A$21:$A$22</c:f>
              <c:strCache>
                <c:ptCount val="0"/>
              </c:strCache>
            </c:strRef>
          </c:cat>
          <c:val>
            <c:numRef>
              <c:f>'Painel'!$B$21:$B$22</c:f>
              <c:numCache>
                <c:formatCode>"R$ "#,##0.00;[Red]("R$ "#,##0.00);"R$ "0.00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00b7a9ddde4d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Contratos" displayName="TabelaContratos" ref="A6:I56" headerRowCount="1" totalsRowCount="0" totalsRowShown="0">
  <x:autoFilter ref="A6:I56"/>
  <x:tableColumns count="9">
    <x:tableColumn id="1" name="ID contrato"/>
    <x:tableColumn id="2" name="Objeto"/>
    <x:tableColumn id="3" name="Fornecedor"/>
    <x:tableColumn id="4" name="Início"/>
    <x:tableColumn id="5" name="Fim"/>
    <x:tableColumn id="6" name="Estado administrativo"/>
    <x:tableColumn id="7" name="Dias até o fim"/>
    <x:tableColumn id="8" name="Prazo"/>
    <x:tableColumn id="9" name="Cadast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Pagamentos" displayName="TabelaPagamentos" ref="A6:K56" headerRowCount="1" totalsRowCount="0" totalsRowShown="0">
  <x:autoFilter ref="A6:K56"/>
  <x:tableColumns count="11">
    <x:tableColumn id="1" name="ID pagamento"/>
    <x:tableColumn id="2" name="Contrato"/>
    <x:tableColumn id="3" name="Descrição"/>
    <x:tableColumn id="4" name="Competência"/>
    <x:tableColumn id="5" name="Valor (R$)"/>
    <x:tableColumn id="6" name="Vencimento"/>
    <x:tableColumn id="7" name="Data de pagamento"/>
    <x:tableColumn id="8" name="Documentos"/>
    <x:tableColumn id="9" name="Etapa informada"/>
    <x:tableColumn id="10" name="Situação na referência"/>
    <x:tableColumn id="11" name="Cadastr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Previsoes" displayName="TabelaPrevisoes" ref="A6:K56" headerRowCount="1" totalsRowCount="0" totalsRowShown="0">
  <x:autoFilter ref="A6:K56"/>
  <x:tableColumns count="11">
    <x:tableColumn id="1" name="Contrato"/>
    <x:tableColumn id="2" name="Saldo serviço (R$)"/>
    <x:tableColumn id="3" name="Mensal serviço (R$)"/>
    <x:tableColumn id="4" name="Saldo material (R$)"/>
    <x:tableColumn id="5" name="Mensal material (R$)"/>
    <x:tableColumn id="6" name="Meses"/>
    <x:tableColumn id="7" name="Projetado serviço (R$)"/>
    <x:tableColumn id="8" name="Projetado material (R$)"/>
    <x:tableColumn id="9" name="Situação serviço"/>
    <x:tableColumn id="10" name="Situação material"/>
    <x:tableColumn id="11" name="Cadastr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Alteracoes" displayName="TabelaAlteracoes" ref="A6:F56" headerRowCount="1" totalsRowCount="0" totalsRowShown="0">
  <x:autoFilter ref="A6:F56"/>
  <x:tableColumns count="6">
    <x:tableColumn id="1" name="ID registro"/>
    <x:tableColumn id="2" name="Contrato"/>
    <x:tableColumn id="3" name="Data"/>
    <x:tableColumn id="4" name="Tipo"/>
    <x:tableColumn id="5" name="Registro"/>
    <x:tableColumn id="6" name="Cadast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db86b9f9a540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92f9d49af240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3e7a0c1abe4b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da26ff4f7e4c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29051a31cf465f" /></Relationships>
</file>

<file path=xl/worksheets/sheet1.xml><?xml version="1.0" encoding="utf-8"?>
<x:worksheet xmlns:x="http://schemas.openxmlformats.org/spreadsheetml/2006/main">
  <x:sheetPr>
    <x:tabColor rgb="FF204D40"/>
  </x:sheetPr>
  <x:sheetViews>
    <x:sheetView showGridLines="0" workbookViewId="0"/>
  </x:sheetViews>
  <x:sheetFormatPr defaultRowHeight="15"/>
  <x:cols>
    <x:col min="1" max="1" width="33" hidden="0" customWidth="1"/>
    <x:col min="2" max="2" width="22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5" customHeight="1">
      <x:c r="A2" s="5" t="str">
        <x:v>Obras e facilities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4" t="str">
        <x:v>Competência</x:v>
      </x:c>
      <x:c r="B3" s="32" t="n">
        <x:f>IF('Auxiliar'!B8="OK",'Auxiliar'!B6,"Informar no Auxiliar")</x:f>
        <x:v>46266</x:v>
      </x:c>
      <x:c r="C3" s="4"/>
      <x:c r="D3" s="4" t="str">
        <x:v>Referência</x:v>
      </x:c>
      <x:c r="E3" s="4"/>
      <x:c r="F3" s="33" t="n">
        <x:f>IF('Auxiliar'!B8="OK",'Auxiliar'!B5,"")</x:f>
        <x:v>46282</x:v>
      </x:c>
      <x:c r="G3" s="4"/>
      <x:c r="H3" s="4"/>
      <x:c r="I3" s="4"/>
      <x:c r="J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3" customHeight="1">
      <x:c r="A6" s="20" t="str">
        <x:v>Pagamentos do mês</x:v>
      </x:c>
      <x:c r="B6" s="20" t="str">
        <x:v>Valor</x:v>
      </x:c>
      <x:c r="C6" s="3"/>
      <x:c r="D6" s="3"/>
      <x:c r="E6" s="3"/>
      <x:c r="F6" s="3"/>
      <x:c r="G6" s="3"/>
      <x:c r="H6" s="3"/>
      <x:c r="I6" s="3"/>
      <x:c r="J6" s="3"/>
    </x:row>
    <x:row r="7" ht="28" customHeight="1">
      <x:c r="A7" s="3" t="str">
        <x:v>Total previsto</x:v>
      </x:c>
      <x:c r="B7" s="34" t="str">
        <x:f>IF('Auxiliar'!B8&lt;&gt;"OK","Conferir Auxiliar",IF(ROWS('Pagamentos'!$K$7:$K$56)-COUNTBLANK('Pagamentos'!$K$7:$K$56)-COUNTIFS('Pagamentos'!$K$7:$K$56,"OK")&gt;0,"Revisar dados",IF(COUNTIFS('Pagamentos'!$D$7:$D$56,"&gt;="&amp;'Auxiliar'!$B$6,'Pagamentos'!$D$7:$D$56,"&lt;"&amp;EDATE('Auxiliar'!$B$6,1))=0,"",SUMIFS('Pagamentos'!$E$7:$E$56,'Pagamentos'!$D$7:$D$56,"&gt;="&amp;'Auxiliar'!$B$6,'Pagamentos'!$D$7:$D$56,"&lt;"&amp;EDATE('Auxiliar'!$B$6,1)))))</x:f>
      </x:c>
      <x:c r="C7" s="3"/>
      <x:c r="D7" s="3"/>
      <x:c r="E7" s="3"/>
      <x:c r="F7" s="3"/>
      <x:c r="G7" s="3"/>
      <x:c r="H7" s="3"/>
      <x:c r="I7" s="3"/>
      <x:c r="J7" s="3"/>
    </x:row>
    <x:row r="8" ht="28" customHeight="1">
      <x:c r="A8" s="3" t="str">
        <x:v>Pago até a referência</x:v>
      </x:c>
      <x:c r="B8" s="34" t="str">
        <x:f>IF('Auxiliar'!B8&lt;&gt;"OK","Conferir Auxiliar",IF(ROWS('Pagamentos'!$K$7:$K$56)-COUNTBLANK('Pagamentos'!$K$7:$K$56)-COUNTIFS('Pagamentos'!$K$7:$K$56,"OK")&gt;0,"Revisar dados",IF(COUNTIFS('Pagamentos'!$D$7:$D$56,"&gt;="&amp;'Auxiliar'!$B$6,'Pagamentos'!$D$7:$D$56,"&lt;"&amp;EDATE('Auxiliar'!$B$6,1))=0,"",SUMIFS('Pagamentos'!$E$7:$E$56,'Pagamentos'!$D$7:$D$56,"&gt;="&amp;'Auxiliar'!$B$6,'Pagamentos'!$D$7:$D$56,"&lt;"&amp;EDATE('Auxiliar'!$B$6,1),'Pagamentos'!$J$7:$J$56,"Pago"))))</x:f>
      </x:c>
      <x:c r="C8" s="3"/>
      <x:c r="D8" s="3"/>
      <x:c r="E8" s="3"/>
      <x:c r="F8" s="3"/>
      <x:c r="G8" s="3"/>
      <x:c r="H8" s="3"/>
      <x:c r="I8" s="3"/>
      <x:c r="J8" s="3"/>
    </x:row>
    <x:row r="9" ht="28" customHeight="1">
      <x:c r="A9" s="3" t="str">
        <x:v>Em aberto</x:v>
      </x:c>
      <x:c r="B9" s="34" t="str">
        <x:f>IF('Auxiliar'!B8&lt;&gt;"OK","Conferir Auxiliar",IF(ROWS('Pagamentos'!$K$7:$K$56)-COUNTBLANK('Pagamentos'!$K$7:$K$56)-COUNTIFS('Pagamentos'!$K$7:$K$56,"OK")&gt;0,"Revisar dados",IF(COUNTIFS('Pagamentos'!$D$7:$D$56,"&gt;="&amp;'Auxiliar'!$B$6,'Pagamentos'!$D$7:$D$56,"&lt;"&amp;EDATE('Auxiliar'!$B$6,1))=0,"",SUMIFS('Pagamentos'!$E$7:$E$56,'Pagamentos'!$D$7:$D$56,"&gt;="&amp;'Auxiliar'!$B$6,'Pagamentos'!$D$7:$D$56,"&lt;"&amp;EDATE('Auxiliar'!$B$6,1),'Pagamentos'!$J$7:$J$56,"&lt;&gt;Pago"))))</x:f>
      </x:c>
      <x:c r="C9" s="3"/>
      <x:c r="D9" s="3"/>
      <x:c r="E9" s="3"/>
      <x:c r="F9" s="3"/>
      <x:c r="G9" s="3"/>
      <x:c r="H9" s="3"/>
      <x:c r="I9" s="3"/>
      <x:c r="J9" s="3"/>
    </x:row>
    <x:row r="10" ht="28" customHeight="1">
      <x:c r="A10" s="3" t="str">
        <x:v>Vencido e não pago</x:v>
      </x:c>
      <x:c r="B10" s="34" t="str">
        <x:f>IF('Auxiliar'!B8&lt;&gt;"OK","Conferir Auxiliar",IF(ROWS('Pagamentos'!$K$7:$K$56)-COUNTBLANK('Pagamentos'!$K$7:$K$56)-COUNTIFS('Pagamentos'!$K$7:$K$56,"OK")&gt;0,"Revisar dados",IF(COUNTIFS('Pagamentos'!$D$7:$D$56,"&gt;="&amp;'Auxiliar'!$B$6,'Pagamentos'!$D$7:$D$56,"&lt;"&amp;EDATE('Auxiliar'!$B$6,1))=0,"",SUMIFS('Pagamentos'!$E$7:$E$56,'Pagamentos'!$D$7:$D$56,"&gt;="&amp;'Auxiliar'!$B$6,'Pagamentos'!$D$7:$D$56,"&lt;"&amp;EDATE('Auxiliar'!$B$6,1),'Pagamentos'!$J$7:$J$56,"Vencido"))))</x:f>
      </x:c>
      <x:c r="C10" s="3"/>
      <x:c r="D10" s="3"/>
      <x:c r="E10" s="3"/>
      <x:c r="F10" s="3"/>
      <x:c r="G10" s="3"/>
      <x:c r="H10" s="3"/>
      <x:c r="I10" s="3"/>
      <x:c r="J10" s="3"/>
    </x:row>
    <x:row r="11" ht="28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8" customHeight="1">
      <x:c r="A12" s="3" t="str">
        <x:v>Documentação pendente</x:v>
      </x:c>
      <x:c r="B12" s="3" t="str">
        <x:f>IF(COUNTIFS('Pagamentos'!$D$7:$D$56,"&gt;="&amp;'Auxiliar'!$B$6,'Pagamentos'!$D$7:$D$56,"&lt;"&amp;EDATE('Auxiliar'!$B$6,1))=0,"",COUNTIFS('Pagamentos'!$D$7:$D$56,"&gt;="&amp;'Auxiliar'!$B$6,'Pagamentos'!$D$7:$D$56,"&lt;"&amp;EDATE('Auxiliar'!$B$6,1),'Pagamentos'!$H$7:$H$56,"Pendente"))</x:f>
      </x:c>
      <x:c r="C12" s="3"/>
      <x:c r="D12" s="3"/>
      <x:c r="E12" s="3"/>
      <x:c r="F12" s="3"/>
      <x:c r="G12" s="3"/>
      <x:c r="H12" s="3"/>
      <x:c r="I12" s="3"/>
      <x:c r="J12" s="3"/>
    </x:row>
    <x:row r="13" ht="28" customHeight="1">
      <x:c r="A13" s="3" t="str">
        <x:v>Cadastros para corrigir</x:v>
      </x:c>
      <x:c r="B13" s="3" t="str">
        <x:f>IF(ROWS('Pagamentos'!$K$7:$K$56)-COUNTBLANK('Pagamentos'!$K$7:$K$56)=0,"",ROWS('Pagamentos'!$K$7:$K$56)-COUNTBLANK('Pagamentos'!$K$7:$K$56)-COUNTIFS('Pagamentos'!$K$7:$K$56,"OK"))</x:f>
      </x:c>
      <x:c r="C13" s="3"/>
      <x:c r="D13" s="3"/>
      <x:c r="E13" s="3"/>
      <x:c r="F13" s="3"/>
      <x:c r="G13" s="3"/>
      <x:c r="H13" s="3"/>
      <x:c r="I13" s="3"/>
      <x:c r="J13" s="3"/>
    </x:row>
    <x:row r="14" ht="28" customHeight="1">
      <x:c r="A14" s="3" t="str">
        <x:v>Outros cadastros para corrigir</x:v>
      </x:c>
      <x:c r="B14" s="3" t="str">
        <x:f>IF(COUNTA('Contratos'!A7:F56)=0,"",(ROWS('Contratos'!I7:I56)-COUNTBLANK('Contratos'!I7:I56)-COUNTIFS('Contratos'!I7:I56,"OK"))+(ROWS('Previsoes'!K7:K56)-COUNTBLANK('Previsoes'!K7:K56)-COUNTIFS('Previsoes'!K7:K56,"OK"))+(ROWS('Alteracoes'!F7:F56)-COUNTBLANK('Alteracoes'!F7:F56)-COUNTIFS('Alteracoes'!F7:F56,"OK")))</x:f>
      </x:c>
      <x:c r="C14" s="3"/>
      <x:c r="D14" s="3"/>
      <x:c r="E14" s="3"/>
      <x:c r="F14" s="3"/>
      <x:c r="G14" s="3"/>
      <x:c r="H14" s="3"/>
      <x:c r="I14" s="3"/>
      <x:c r="J14" s="3"/>
    </x:row>
    <x:row r="15" ht="28" customHeight="1">
      <x:c r="A15" s="3" t="str">
        <x:v>Comece pelo Auxiliar</x:v>
      </x:c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8" customHeight="1">
      <x:c r="A16" s="3" t="str">
        <x:v>Depois preencha as abas amarelas.</x:v>
      </x:c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8" customHeight="1">
      <x:c r="A17" s="3" t="str">
        <x:v>Use os filtros na linha 6 das tabelas.</x:v>
      </x:c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8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8" customHeight="1">
      <x:c r="A19" s="3" t="str">
        <x:v>Composição do mês</x:v>
      </x:c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8" customHeight="1">
      <x:c r="A20" s="3" t="str">
        <x:v>Situação</x:v>
      </x:c>
      <x:c r="B20" s="3" t="str">
        <x:v>Valor (R$)</x:v>
      </x:c>
      <x:c r="C20" s="3"/>
      <x:c r="D20" s="3"/>
      <x:c r="E20" s="3"/>
      <x:c r="F20" s="3"/>
      <x:c r="G20" s="3"/>
      <x:c r="H20" s="3"/>
      <x:c r="I20" s="3"/>
      <x:c r="J20" s="3"/>
    </x:row>
    <x:row r="21" ht="28" customHeight="1">
      <x:c r="A21" s="3" t="str">
        <x:v>Pago</x:v>
      </x:c>
      <x:c r="B21" s="29" t="str">
        <x:f>IF(ISNUMBER(B8),B8,"")</x:f>
      </x:c>
      <x:c r="C21" s="3"/>
      <x:c r="D21" s="3"/>
      <x:c r="E21" s="3"/>
      <x:c r="F21" s="3"/>
      <x:c r="G21" s="3"/>
      <x:c r="H21" s="3"/>
      <x:c r="I21" s="3"/>
      <x:c r="J21" s="3"/>
    </x:row>
    <x:row r="22" ht="28" customHeight="1">
      <x:c r="A22" s="3" t="str">
        <x:v>Em aberto</x:v>
      </x:c>
      <x:c r="B22" s="29" t="str">
        <x:f>IF(ISNUMBER(B9),B9,"")</x:f>
      </x:c>
      <x:c r="C22" s="3"/>
      <x:c r="D22" s="3"/>
      <x:c r="E22" s="3"/>
      <x:c r="F22" s="3"/>
      <x:c r="G22" s="3"/>
      <x:c r="H22" s="3"/>
      <x:c r="I22" s="3"/>
      <x:c r="J22" s="3"/>
    </x:row>
    <x:row r="23" ht="28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8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 ht="28" customHeight="1">
      <x:c r="A25" s="3" t="str">
        <x:v>Contratos em acompanhamento</x:v>
      </x:c>
      <x:c r="B25" s="3" t="str">
        <x:f>IF(COUNTA(Contratos!A7:A56)=0,"",COUNTIFS(Contratos!F7:F56,"Ativo"))</x:f>
      </x:c>
      <x:c r="C25" s="3"/>
      <x:c r="D25" s="3"/>
      <x:c r="E25" s="3"/>
      <x:c r="F25" s="3"/>
      <x:c r="G25" s="3"/>
      <x:c r="H25" s="3"/>
      <x:c r="I25" s="3"/>
      <x:c r="J25" s="3"/>
    </x:row>
    <x:row r="26" ht="28" customHeight="1">
      <x:c r="A26" s="3" t="str">
        <x:v>Prazos que pedem atenção</x:v>
      </x:c>
      <x:c r="B26" s="3" t="str">
        <x:f>IF(COUNTA(Contratos!A7:A56)=0,"",COUNTIFS(Contratos!F7:F56,"Ativo",Contratos!G7:G56,"&lt;=30",Contratos!I7:I56,"OK"))</x:f>
      </x:c>
      <x:c r="C26" s="3"/>
      <x:c r="D26" s="3"/>
      <x:c r="E26" s="3"/>
      <x:c r="F26" s="3"/>
      <x:c r="G26" s="3"/>
      <x:c r="H26" s="3"/>
      <x:c r="I26" s="3"/>
      <x:c r="J26" s="3"/>
    </x:row>
    <x:row r="27" ht="28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28" customHeight="1">
      <x:c r="A28" s="3" t="str">
        <x:v>Serviços com risco</x:v>
      </x:c>
      <x:c r="B28" s="3" t="str">
        <x:f>IF(COUNTA(Previsoes!A7:A56)=0,"",COUNTIFS(Previsoes!I7:I56,"Risco"))</x:f>
      </x:c>
      <x:c r="C28" s="3"/>
      <x:c r="D28" s="3" t="str">
        <x:v>Material com risco</x:v>
      </x:c>
      <x:c r="E28" s="3"/>
      <x:c r="F28" s="3"/>
      <x:c r="G28" s="3" t="str">
        <x:f>IF(COUNTA(Previsoes!A7:A56)=0,"",COUNTIFS(Previsoes!J7:J56,"Risco"))</x:f>
      </x:c>
      <x:c r="H28" s="3"/>
      <x:c r="I28" s="3"/>
      <x:c r="J28" s="3"/>
    </x:row>
    <x:row r="29" ht="28" customHeight="1">
      <x:c r="A29" s="3" t="str">
        <x:v>Previsões incompletas</x:v>
      </x:c>
      <x:c r="B29" s="3" t="str">
        <x:f>IF(COUNTA(Previsoes!A7:A56)=0,"",COUNTIFS(Previsoes!I7:I56,"Incompleto")+COUNTIFS(Previsoes!J7:J56,"Incompleto"))</x:f>
      </x:c>
      <x:c r="C29" s="3"/>
      <x:c r="D29" s="3"/>
      <x:c r="E29" s="3"/>
      <x:c r="F29" s="3"/>
      <x:c r="G29" s="3"/>
      <x:c r="H29" s="3"/>
      <x:c r="I29" s="3"/>
      <x:c r="J29" s="3"/>
    </x:row>
    <x:row r="30" ht="28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28" customHeight="1">
      <x:c r="A31" s="3" t="str">
        <x:v>Risco: saldo projetado menor que zero.</x:v>
      </x:c>
      <x:c r="B31" s="3"/>
      <x:c r="C31" s="3"/>
      <x:c r="D31" s="3" t="str">
        <x:v>Veja detalhes na aba Previsoes.</x:v>
      </x:c>
      <x:c r="E31" s="3"/>
      <x:c r="F31" s="3"/>
      <x:c r="G31" s="3"/>
      <x:c r="H31" s="3"/>
      <x:c r="I31" s="3"/>
      <x:c r="J31" s="3"/>
    </x:row>
    <x:row r="32" ht="28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28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</x:sheetData>
  <x:conditionalFormatting sqref="B7:B13">
    <x:cfRule type="containsText" dxfId="50" priority="1" operator="containsText" text="Vencido"/>
    <x:cfRule type="containsText" dxfId="51" priority="2" operator="containsText" text="Vence hoje"/>
    <x:cfRule type="containsText" dxfId="52" priority="3" operator="containsText" text="Revisar"/>
    <x:cfRule type="containsText" dxfId="53" priority="4" operator="containsText" text="Incompleto"/>
    <x:cfRule type="containsText" dxfId="54" priority="5" operator="containsText" text="Duplicado"/>
    <x:cfRule type="containsText" dxfId="55" priority="6" operator="containsText" text="Sem cadastro"/>
    <x:cfRule type="containsText" dxfId="56" priority="7" operator="containsText" text="Conferir"/>
    <x:cfRule type="containsText" dxfId="57" priority="8" operator="containsText" text="Aluguel indevido"/>
    <x:cfRule type="containsText" dxfId="58" priority="9" operator="containsText" text="Risco"/>
    <x:cfRule type="containsText" dxfId="59" priority="10" operator="containsText" text="Em até 30 dias"/>
  </x:conditionalFormatting>
  <x:pageMargins left="0.7" right="0.7" top="0.75" bottom="0.75" header="0.3" footer="0.3"/>
  <x:drawing xmlns:r="http://schemas.openxmlformats.org/officeDocument/2006/relationships" r:id="Rc1db86b9f9a540bc"/>
</x:worksheet>
</file>

<file path=xl/worksheets/sheet2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8" hidden="0" customWidth="1"/>
    <x:col min="4" max="4" width="15" hidden="0" customWidth="1"/>
    <x:col min="5" max="5" width="15" hidden="0" customWidth="1"/>
    <x:col min="6" max="6" width="21" hidden="0" customWidth="1"/>
    <x:col min="7" max="7" width="16" hidden="0" customWidth="1"/>
    <x:col min="8" max="8" width="25" hidden="0" customWidth="1"/>
    <x:col min="9" max="9" width="25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</x:row>
    <x:row r="2" ht="35" customHeight="1">
      <x:c r="A2" s="5" t="str">
        <x:v>Contratos</x:v>
      </x:c>
      <x:c r="B2" s="4"/>
      <x:c r="C2" s="4"/>
      <x:c r="D2" s="4"/>
      <x:c r="E2" s="4"/>
      <x:c r="F2" s="4"/>
      <x:c r="G2" s="4"/>
      <x:c r="H2" s="4"/>
      <x:c r="I2" s="4"/>
    </x:row>
    <x:row r="3" ht="28" customHeight="1">
      <x:c r="A3" s="4" t="str">
        <x:v>Preencha A:F. O prazo não altera o estado administrativo.</x:v>
      </x:c>
      <x:c r="B3" s="4"/>
      <x:c r="C3" s="4"/>
      <x:c r="D3" s="4"/>
      <x:c r="E3" s="4"/>
      <x:c r="F3" s="4"/>
      <x:c r="G3" s="4"/>
      <x:c r="H3" s="4"/>
      <x:c r="I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46" customHeight="1">
      <x:c r="A6" s="22" t="str">
        <x:v>ID contrato</x:v>
      </x:c>
      <x:c r="B6" s="22" t="str">
        <x:v>Objeto</x:v>
      </x:c>
      <x:c r="C6" s="22" t="str">
        <x:v>Fornecedor</x:v>
      </x:c>
      <x:c r="D6" s="22" t="str">
        <x:v>Início</x:v>
      </x:c>
      <x:c r="E6" s="22" t="str">
        <x:v>Fim</x:v>
      </x:c>
      <x:c r="F6" s="22" t="str">
        <x:v>Estado administrativo</x:v>
      </x:c>
      <x:c r="G6" s="22" t="str">
        <x:v>Dias até o fim</x:v>
      </x:c>
      <x:c r="H6" s="22" t="str">
        <x:v>Prazo</x:v>
      </x:c>
      <x:c r="I6" s="22" t="str">
        <x:v>Cadastro</x:v>
      </x:c>
    </x:row>
    <x:row r="7" ht="40" customHeight="1">
      <x:c r="A7" s="23"/>
      <x:c r="B7" s="24"/>
      <x:c r="C7" s="24"/>
      <x:c r="D7" s="13"/>
      <x:c r="E7" s="13"/>
      <x:c r="F7" s="23"/>
      <x:c r="G7" s="17" t="str">
        <x:f>IF('Auxiliar'!B8&lt;&gt;"OK","",IF(A7="","",IF(I7&lt;&gt;"OK","",E7-'Auxiliar'!$B$5)))</x:f>
      </x:c>
      <x:c r="H7" s="17" t="str">
        <x:f>IF(A7="","",IF('Auxiliar'!B8&lt;&gt;"OK","Conferir Auxiliar",IF(A7="","",IF(I7&lt;&gt;"OK","Conferir cadastro",IF(F7="Encerrado","Encerrado",IF(G7&lt;0,"Vencido",IF(G7=0,"Vence hoje",IF(G7&lt;=30,"Em até 30 dias","Em prazo"))))))))</x:f>
      </x:c>
      <x:c r="I7" s="17" t="str">
        <x:f>IF(COUNTA(A7:F7)=0,"",IF(A7="","Informe ID",IF(COUNTIFS($A$7:$A$56,A7)&gt;1,"Duplicado",IF(OR(B7="",C7="",NOT(ISNUMBER(D7)),NOT(ISNUMBER(E7)),D7&lt;=0,E7&lt;D7,AND(F7&lt;&gt;"Ativo",F7&lt;&gt;"Encerrado")),"Incompleto","OK"))))</x:f>
      </x:c>
    </x:row>
    <x:row r="8" ht="40" customHeight="1">
      <x:c r="A8" s="23"/>
      <x:c r="B8" s="24"/>
      <x:c r="C8" s="24"/>
      <x:c r="D8" s="13"/>
      <x:c r="E8" s="13"/>
      <x:c r="F8" s="23"/>
      <x:c r="G8" s="17" t="str">
        <x:f>IF('Auxiliar'!B8&lt;&gt;"OK","",IF(A8="","",IF(I8&lt;&gt;"OK","",E8-'Auxiliar'!$B$5)))</x:f>
      </x:c>
      <x:c r="H8" s="17" t="str">
        <x:f>IF(A8="","",IF('Auxiliar'!B8&lt;&gt;"OK","Conferir Auxiliar",IF(A8="","",IF(I8&lt;&gt;"OK","Conferir cadastro",IF(F8="Encerrado","Encerrado",IF(G8&lt;0,"Vencido",IF(G8=0,"Vence hoje",IF(G8&lt;=30,"Em até 30 dias","Em prazo"))))))))</x:f>
      </x:c>
      <x:c r="I8" s="17" t="str">
        <x:f>IF(COUNTA(A8:F8)=0,"",IF(A8="","Informe ID",IF(COUNTIFS($A$7:$A$56,A8)&gt;1,"Duplicado",IF(OR(B8="",C8="",NOT(ISNUMBER(D8)),NOT(ISNUMBER(E8)),D8&lt;=0,E8&lt;D8,AND(F8&lt;&gt;"Ativo",F8&lt;&gt;"Encerrado")),"Incompleto","OK"))))</x:f>
      </x:c>
    </x:row>
    <x:row r="9" ht="40" customHeight="1">
      <x:c r="A9" s="23"/>
      <x:c r="B9" s="24"/>
      <x:c r="C9" s="24"/>
      <x:c r="D9" s="13"/>
      <x:c r="E9" s="13"/>
      <x:c r="F9" s="23"/>
      <x:c r="G9" s="17" t="str">
        <x:f>IF('Auxiliar'!B8&lt;&gt;"OK","",IF(A9="","",IF(I9&lt;&gt;"OK","",E9-'Auxiliar'!$B$5)))</x:f>
      </x:c>
      <x:c r="H9" s="17" t="str">
        <x:f>IF(A9="","",IF('Auxiliar'!B8&lt;&gt;"OK","Conferir Auxiliar",IF(A9="","",IF(I9&lt;&gt;"OK","Conferir cadastro",IF(F9="Encerrado","Encerrado",IF(G9&lt;0,"Vencido",IF(G9=0,"Vence hoje",IF(G9&lt;=30,"Em até 30 dias","Em prazo"))))))))</x:f>
      </x:c>
      <x:c r="I9" s="17" t="str">
        <x:f>IF(COUNTA(A9:F9)=0,"",IF(A9="","Informe ID",IF(COUNTIFS($A$7:$A$56,A9)&gt;1,"Duplicado",IF(OR(B9="",C9="",NOT(ISNUMBER(D9)),NOT(ISNUMBER(E9)),D9&lt;=0,E9&lt;D9,AND(F9&lt;&gt;"Ativo",F9&lt;&gt;"Encerrado")),"Incompleto","OK"))))</x:f>
      </x:c>
    </x:row>
    <x:row r="10" ht="40" customHeight="1">
      <x:c r="A10" s="23"/>
      <x:c r="B10" s="24"/>
      <x:c r="C10" s="24"/>
      <x:c r="D10" s="13"/>
      <x:c r="E10" s="13"/>
      <x:c r="F10" s="23"/>
      <x:c r="G10" s="17" t="str">
        <x:f>IF('Auxiliar'!B8&lt;&gt;"OK","",IF(A10="","",IF(I10&lt;&gt;"OK","",E10-'Auxiliar'!$B$5)))</x:f>
      </x:c>
      <x:c r="H10" s="17" t="str">
        <x:f>IF(A10="","",IF('Auxiliar'!B8&lt;&gt;"OK","Conferir Auxiliar",IF(A10="","",IF(I10&lt;&gt;"OK","Conferir cadastro",IF(F10="Encerrado","Encerrado",IF(G10&lt;0,"Vencido",IF(G10=0,"Vence hoje",IF(G10&lt;=30,"Em até 30 dias","Em prazo"))))))))</x:f>
      </x:c>
      <x:c r="I10" s="17" t="str">
        <x:f>IF(COUNTA(A10:F10)=0,"",IF(A10="","Informe ID",IF(COUNTIFS($A$7:$A$56,A10)&gt;1,"Duplicado",IF(OR(B10="",C10="",NOT(ISNUMBER(D10)),NOT(ISNUMBER(E10)),D10&lt;=0,E10&lt;D10,AND(F10&lt;&gt;"Ativo",F10&lt;&gt;"Encerrado")),"Incompleto","OK"))))</x:f>
      </x:c>
    </x:row>
    <x:row r="11" ht="40" customHeight="1">
      <x:c r="A11" s="23"/>
      <x:c r="B11" s="24"/>
      <x:c r="C11" s="24"/>
      <x:c r="D11" s="13"/>
      <x:c r="E11" s="13"/>
      <x:c r="F11" s="23"/>
      <x:c r="G11" s="17" t="str">
        <x:f>IF('Auxiliar'!B8&lt;&gt;"OK","",IF(A11="","",IF(I11&lt;&gt;"OK","",E11-'Auxiliar'!$B$5)))</x:f>
      </x:c>
      <x:c r="H11" s="17" t="str">
        <x:f>IF(A11="","",IF('Auxiliar'!B8&lt;&gt;"OK","Conferir Auxiliar",IF(A11="","",IF(I11&lt;&gt;"OK","Conferir cadastro",IF(F11="Encerrado","Encerrado",IF(G11&lt;0,"Vencido",IF(G11=0,"Vence hoje",IF(G11&lt;=30,"Em até 30 dias","Em prazo"))))))))</x:f>
      </x:c>
      <x:c r="I11" s="17" t="str">
        <x:f>IF(COUNTA(A11:F11)=0,"",IF(A11="","Informe ID",IF(COUNTIFS($A$7:$A$56,A11)&gt;1,"Duplicado",IF(OR(B11="",C11="",NOT(ISNUMBER(D11)),NOT(ISNUMBER(E11)),D11&lt;=0,E11&lt;D11,AND(F11&lt;&gt;"Ativo",F11&lt;&gt;"Encerrado")),"Incompleto","OK"))))</x:f>
      </x:c>
    </x:row>
    <x:row r="12" ht="40" customHeight="1">
      <x:c r="A12" s="23"/>
      <x:c r="B12" s="24"/>
      <x:c r="C12" s="24"/>
      <x:c r="D12" s="13"/>
      <x:c r="E12" s="13"/>
      <x:c r="F12" s="23"/>
      <x:c r="G12" s="17" t="str">
        <x:f>IF('Auxiliar'!B8&lt;&gt;"OK","",IF(A12="","",IF(I12&lt;&gt;"OK","",E12-'Auxiliar'!$B$5)))</x:f>
      </x:c>
      <x:c r="H12" s="17" t="str">
        <x:f>IF(A12="","",IF('Auxiliar'!B8&lt;&gt;"OK","Conferir Auxiliar",IF(A12="","",IF(I12&lt;&gt;"OK","Conferir cadastro",IF(F12="Encerrado","Encerrado",IF(G12&lt;0,"Vencido",IF(G12=0,"Vence hoje",IF(G12&lt;=30,"Em até 30 dias","Em prazo"))))))))</x:f>
      </x:c>
      <x:c r="I12" s="17" t="str">
        <x:f>IF(COUNTA(A12:F12)=0,"",IF(A12="","Informe ID",IF(COUNTIFS($A$7:$A$56,A12)&gt;1,"Duplicado",IF(OR(B12="",C12="",NOT(ISNUMBER(D12)),NOT(ISNUMBER(E12)),D12&lt;=0,E12&lt;D12,AND(F12&lt;&gt;"Ativo",F12&lt;&gt;"Encerrado")),"Incompleto","OK"))))</x:f>
      </x:c>
    </x:row>
    <x:row r="13" ht="40" customHeight="1">
      <x:c r="A13" s="23"/>
      <x:c r="B13" s="24"/>
      <x:c r="C13" s="24"/>
      <x:c r="D13" s="13"/>
      <x:c r="E13" s="13"/>
      <x:c r="F13" s="23"/>
      <x:c r="G13" s="17" t="str">
        <x:f>IF('Auxiliar'!B8&lt;&gt;"OK","",IF(A13="","",IF(I13&lt;&gt;"OK","",E13-'Auxiliar'!$B$5)))</x:f>
      </x:c>
      <x:c r="H13" s="17" t="str">
        <x:f>IF(A13="","",IF('Auxiliar'!B8&lt;&gt;"OK","Conferir Auxiliar",IF(A13="","",IF(I13&lt;&gt;"OK","Conferir cadastro",IF(F13="Encerrado","Encerrado",IF(G13&lt;0,"Vencido",IF(G13=0,"Vence hoje",IF(G13&lt;=30,"Em até 30 dias","Em prazo"))))))))</x:f>
      </x:c>
      <x:c r="I13" s="17" t="str">
        <x:f>IF(COUNTA(A13:F13)=0,"",IF(A13="","Informe ID",IF(COUNTIFS($A$7:$A$56,A13)&gt;1,"Duplicado",IF(OR(B13="",C13="",NOT(ISNUMBER(D13)),NOT(ISNUMBER(E13)),D13&lt;=0,E13&lt;D13,AND(F13&lt;&gt;"Ativo",F13&lt;&gt;"Encerrado")),"Incompleto","OK"))))</x:f>
      </x:c>
    </x:row>
    <x:row r="14" ht="40" customHeight="1">
      <x:c r="A14" s="23"/>
      <x:c r="B14" s="24"/>
      <x:c r="C14" s="24"/>
      <x:c r="D14" s="13"/>
      <x:c r="E14" s="13"/>
      <x:c r="F14" s="23"/>
      <x:c r="G14" s="17" t="str">
        <x:f>IF('Auxiliar'!B8&lt;&gt;"OK","",IF(A14="","",IF(I14&lt;&gt;"OK","",E14-'Auxiliar'!$B$5)))</x:f>
      </x:c>
      <x:c r="H14" s="17" t="str">
        <x:f>IF(A14="","",IF('Auxiliar'!B8&lt;&gt;"OK","Conferir Auxiliar",IF(A14="","",IF(I14&lt;&gt;"OK","Conferir cadastro",IF(F14="Encerrado","Encerrado",IF(G14&lt;0,"Vencido",IF(G14=0,"Vence hoje",IF(G14&lt;=30,"Em até 30 dias","Em prazo"))))))))</x:f>
      </x:c>
      <x:c r="I14" s="17" t="str">
        <x:f>IF(COUNTA(A14:F14)=0,"",IF(A14="","Informe ID",IF(COUNTIFS($A$7:$A$56,A14)&gt;1,"Duplicado",IF(OR(B14="",C14="",NOT(ISNUMBER(D14)),NOT(ISNUMBER(E14)),D14&lt;=0,E14&lt;D14,AND(F14&lt;&gt;"Ativo",F14&lt;&gt;"Encerrado")),"Incompleto","OK"))))</x:f>
      </x:c>
    </x:row>
    <x:row r="15" ht="40" customHeight="1">
      <x:c r="A15" s="23"/>
      <x:c r="B15" s="24"/>
      <x:c r="C15" s="24"/>
      <x:c r="D15" s="13"/>
      <x:c r="E15" s="13"/>
      <x:c r="F15" s="23"/>
      <x:c r="G15" s="17" t="str">
        <x:f>IF('Auxiliar'!B8&lt;&gt;"OK","",IF(A15="","",IF(I15&lt;&gt;"OK","",E15-'Auxiliar'!$B$5)))</x:f>
      </x:c>
      <x:c r="H15" s="17" t="str">
        <x:f>IF(A15="","",IF('Auxiliar'!B8&lt;&gt;"OK","Conferir Auxiliar",IF(A15="","",IF(I15&lt;&gt;"OK","Conferir cadastro",IF(F15="Encerrado","Encerrado",IF(G15&lt;0,"Vencido",IF(G15=0,"Vence hoje",IF(G15&lt;=30,"Em até 30 dias","Em prazo"))))))))</x:f>
      </x:c>
      <x:c r="I15" s="17" t="str">
        <x:f>IF(COUNTA(A15:F15)=0,"",IF(A15="","Informe ID",IF(COUNTIFS($A$7:$A$56,A15)&gt;1,"Duplicado",IF(OR(B15="",C15="",NOT(ISNUMBER(D15)),NOT(ISNUMBER(E15)),D15&lt;=0,E15&lt;D15,AND(F15&lt;&gt;"Ativo",F15&lt;&gt;"Encerrado")),"Incompleto","OK"))))</x:f>
      </x:c>
    </x:row>
    <x:row r="16" ht="40" customHeight="1">
      <x:c r="A16" s="23"/>
      <x:c r="B16" s="24"/>
      <x:c r="C16" s="24"/>
      <x:c r="D16" s="13"/>
      <x:c r="E16" s="13"/>
      <x:c r="F16" s="23"/>
      <x:c r="G16" s="17" t="str">
        <x:f>IF('Auxiliar'!B8&lt;&gt;"OK","",IF(A16="","",IF(I16&lt;&gt;"OK","",E16-'Auxiliar'!$B$5)))</x:f>
      </x:c>
      <x:c r="H16" s="17" t="str">
        <x:f>IF(A16="","",IF('Auxiliar'!B8&lt;&gt;"OK","Conferir Auxiliar",IF(A16="","",IF(I16&lt;&gt;"OK","Conferir cadastro",IF(F16="Encerrado","Encerrado",IF(G16&lt;0,"Vencido",IF(G16=0,"Vence hoje",IF(G16&lt;=30,"Em até 30 dias","Em prazo"))))))))</x:f>
      </x:c>
      <x:c r="I16" s="17" t="str">
        <x:f>IF(COUNTA(A16:F16)=0,"",IF(A16="","Informe ID",IF(COUNTIFS($A$7:$A$56,A16)&gt;1,"Duplicado",IF(OR(B16="",C16="",NOT(ISNUMBER(D16)),NOT(ISNUMBER(E16)),D16&lt;=0,E16&lt;D16,AND(F16&lt;&gt;"Ativo",F16&lt;&gt;"Encerrado")),"Incompleto","OK"))))</x:f>
      </x:c>
    </x:row>
    <x:row r="17" ht="40" customHeight="1">
      <x:c r="A17" s="23"/>
      <x:c r="B17" s="24"/>
      <x:c r="C17" s="24"/>
      <x:c r="D17" s="13"/>
      <x:c r="E17" s="13"/>
      <x:c r="F17" s="23"/>
      <x:c r="G17" s="17" t="str">
        <x:f>IF('Auxiliar'!B8&lt;&gt;"OK","",IF(A17="","",IF(I17&lt;&gt;"OK","",E17-'Auxiliar'!$B$5)))</x:f>
      </x:c>
      <x:c r="H17" s="17" t="str">
        <x:f>IF(A17="","",IF('Auxiliar'!B8&lt;&gt;"OK","Conferir Auxiliar",IF(A17="","",IF(I17&lt;&gt;"OK","Conferir cadastro",IF(F17="Encerrado","Encerrado",IF(G17&lt;0,"Vencido",IF(G17=0,"Vence hoje",IF(G17&lt;=30,"Em até 30 dias","Em prazo"))))))))</x:f>
      </x:c>
      <x:c r="I17" s="17" t="str">
        <x:f>IF(COUNTA(A17:F17)=0,"",IF(A17="","Informe ID",IF(COUNTIFS($A$7:$A$56,A17)&gt;1,"Duplicado",IF(OR(B17="",C17="",NOT(ISNUMBER(D17)),NOT(ISNUMBER(E17)),D17&lt;=0,E17&lt;D17,AND(F17&lt;&gt;"Ativo",F17&lt;&gt;"Encerrado")),"Incompleto","OK"))))</x:f>
      </x:c>
    </x:row>
    <x:row r="18" ht="40" customHeight="1">
      <x:c r="A18" s="23"/>
      <x:c r="B18" s="24"/>
      <x:c r="C18" s="24"/>
      <x:c r="D18" s="13"/>
      <x:c r="E18" s="13"/>
      <x:c r="F18" s="23"/>
      <x:c r="G18" s="17" t="str">
        <x:f>IF('Auxiliar'!B8&lt;&gt;"OK","",IF(A18="","",IF(I18&lt;&gt;"OK","",E18-'Auxiliar'!$B$5)))</x:f>
      </x:c>
      <x:c r="H18" s="17" t="str">
        <x:f>IF(A18="","",IF('Auxiliar'!B8&lt;&gt;"OK","Conferir Auxiliar",IF(A18="","",IF(I18&lt;&gt;"OK","Conferir cadastro",IF(F18="Encerrado","Encerrado",IF(G18&lt;0,"Vencido",IF(G18=0,"Vence hoje",IF(G18&lt;=30,"Em até 30 dias","Em prazo"))))))))</x:f>
      </x:c>
      <x:c r="I18" s="17" t="str">
        <x:f>IF(COUNTA(A18:F18)=0,"",IF(A18="","Informe ID",IF(COUNTIFS($A$7:$A$56,A18)&gt;1,"Duplicado",IF(OR(B18="",C18="",NOT(ISNUMBER(D18)),NOT(ISNUMBER(E18)),D18&lt;=0,E18&lt;D18,AND(F18&lt;&gt;"Ativo",F18&lt;&gt;"Encerrado")),"Incompleto","OK"))))</x:f>
      </x:c>
    </x:row>
    <x:row r="19" ht="40" customHeight="1">
      <x:c r="A19" s="23"/>
      <x:c r="B19" s="24"/>
      <x:c r="C19" s="24"/>
      <x:c r="D19" s="13"/>
      <x:c r="E19" s="13"/>
      <x:c r="F19" s="23"/>
      <x:c r="G19" s="17" t="str">
        <x:f>IF('Auxiliar'!B8&lt;&gt;"OK","",IF(A19="","",IF(I19&lt;&gt;"OK","",E19-'Auxiliar'!$B$5)))</x:f>
      </x:c>
      <x:c r="H19" s="17" t="str">
        <x:f>IF(A19="","",IF('Auxiliar'!B8&lt;&gt;"OK","Conferir Auxiliar",IF(A19="","",IF(I19&lt;&gt;"OK","Conferir cadastro",IF(F19="Encerrado","Encerrado",IF(G19&lt;0,"Vencido",IF(G19=0,"Vence hoje",IF(G19&lt;=30,"Em até 30 dias","Em prazo"))))))))</x:f>
      </x:c>
      <x:c r="I19" s="17" t="str">
        <x:f>IF(COUNTA(A19:F19)=0,"",IF(A19="","Informe ID",IF(COUNTIFS($A$7:$A$56,A19)&gt;1,"Duplicado",IF(OR(B19="",C19="",NOT(ISNUMBER(D19)),NOT(ISNUMBER(E19)),D19&lt;=0,E19&lt;D19,AND(F19&lt;&gt;"Ativo",F19&lt;&gt;"Encerrado")),"Incompleto","OK"))))</x:f>
      </x:c>
    </x:row>
    <x:row r="20" ht="40" customHeight="1">
      <x:c r="A20" s="23"/>
      <x:c r="B20" s="24"/>
      <x:c r="C20" s="24"/>
      <x:c r="D20" s="13"/>
      <x:c r="E20" s="13"/>
      <x:c r="F20" s="23"/>
      <x:c r="G20" s="17" t="str">
        <x:f>IF('Auxiliar'!B8&lt;&gt;"OK","",IF(A20="","",IF(I20&lt;&gt;"OK","",E20-'Auxiliar'!$B$5)))</x:f>
      </x:c>
      <x:c r="H20" s="17" t="str">
        <x:f>IF(A20="","",IF('Auxiliar'!B8&lt;&gt;"OK","Conferir Auxiliar",IF(A20="","",IF(I20&lt;&gt;"OK","Conferir cadastro",IF(F20="Encerrado","Encerrado",IF(G20&lt;0,"Vencido",IF(G20=0,"Vence hoje",IF(G20&lt;=30,"Em até 30 dias","Em prazo"))))))))</x:f>
      </x:c>
      <x:c r="I20" s="17" t="str">
        <x:f>IF(COUNTA(A20:F20)=0,"",IF(A20="","Informe ID",IF(COUNTIFS($A$7:$A$56,A20)&gt;1,"Duplicado",IF(OR(B20="",C20="",NOT(ISNUMBER(D20)),NOT(ISNUMBER(E20)),D20&lt;=0,E20&lt;D20,AND(F20&lt;&gt;"Ativo",F20&lt;&gt;"Encerrado")),"Incompleto","OK"))))</x:f>
      </x:c>
    </x:row>
    <x:row r="21" ht="40" customHeight="1">
      <x:c r="A21" s="23"/>
      <x:c r="B21" s="24"/>
      <x:c r="C21" s="24"/>
      <x:c r="D21" s="13"/>
      <x:c r="E21" s="13"/>
      <x:c r="F21" s="23"/>
      <x:c r="G21" s="17" t="str">
        <x:f>IF('Auxiliar'!B8&lt;&gt;"OK","",IF(A21="","",IF(I21&lt;&gt;"OK","",E21-'Auxiliar'!$B$5)))</x:f>
      </x:c>
      <x:c r="H21" s="17" t="str">
        <x:f>IF(A21="","",IF('Auxiliar'!B8&lt;&gt;"OK","Conferir Auxiliar",IF(A21="","",IF(I21&lt;&gt;"OK","Conferir cadastro",IF(F21="Encerrado","Encerrado",IF(G21&lt;0,"Vencido",IF(G21=0,"Vence hoje",IF(G21&lt;=30,"Em até 30 dias","Em prazo"))))))))</x:f>
      </x:c>
      <x:c r="I21" s="17" t="str">
        <x:f>IF(COUNTA(A21:F21)=0,"",IF(A21="","Informe ID",IF(COUNTIFS($A$7:$A$56,A21)&gt;1,"Duplicado",IF(OR(B21="",C21="",NOT(ISNUMBER(D21)),NOT(ISNUMBER(E21)),D21&lt;=0,E21&lt;D21,AND(F21&lt;&gt;"Ativo",F21&lt;&gt;"Encerrado")),"Incompleto","OK"))))</x:f>
      </x:c>
    </x:row>
    <x:row r="22" ht="40" customHeight="1">
      <x:c r="A22" s="23"/>
      <x:c r="B22" s="24"/>
      <x:c r="C22" s="24"/>
      <x:c r="D22" s="13"/>
      <x:c r="E22" s="13"/>
      <x:c r="F22" s="23"/>
      <x:c r="G22" s="17" t="str">
        <x:f>IF('Auxiliar'!B8&lt;&gt;"OK","",IF(A22="","",IF(I22&lt;&gt;"OK","",E22-'Auxiliar'!$B$5)))</x:f>
      </x:c>
      <x:c r="H22" s="17" t="str">
        <x:f>IF(A22="","",IF('Auxiliar'!B8&lt;&gt;"OK","Conferir Auxiliar",IF(A22="","",IF(I22&lt;&gt;"OK","Conferir cadastro",IF(F22="Encerrado","Encerrado",IF(G22&lt;0,"Vencido",IF(G22=0,"Vence hoje",IF(G22&lt;=30,"Em até 30 dias","Em prazo"))))))))</x:f>
      </x:c>
      <x:c r="I22" s="17" t="str">
        <x:f>IF(COUNTA(A22:F22)=0,"",IF(A22="","Informe ID",IF(COUNTIFS($A$7:$A$56,A22)&gt;1,"Duplicado",IF(OR(B22="",C22="",NOT(ISNUMBER(D22)),NOT(ISNUMBER(E22)),D22&lt;=0,E22&lt;D22,AND(F22&lt;&gt;"Ativo",F22&lt;&gt;"Encerrado")),"Incompleto","OK"))))</x:f>
      </x:c>
    </x:row>
    <x:row r="23" ht="40" customHeight="1">
      <x:c r="A23" s="23"/>
      <x:c r="B23" s="24"/>
      <x:c r="C23" s="24"/>
      <x:c r="D23" s="13"/>
      <x:c r="E23" s="13"/>
      <x:c r="F23" s="23"/>
      <x:c r="G23" s="17" t="str">
        <x:f>IF('Auxiliar'!B8&lt;&gt;"OK","",IF(A23="","",IF(I23&lt;&gt;"OK","",E23-'Auxiliar'!$B$5)))</x:f>
      </x:c>
      <x:c r="H23" s="17" t="str">
        <x:f>IF(A23="","",IF('Auxiliar'!B8&lt;&gt;"OK","Conferir Auxiliar",IF(A23="","",IF(I23&lt;&gt;"OK","Conferir cadastro",IF(F23="Encerrado","Encerrado",IF(G23&lt;0,"Vencido",IF(G23=0,"Vence hoje",IF(G23&lt;=30,"Em até 30 dias","Em prazo"))))))))</x:f>
      </x:c>
      <x:c r="I23" s="17" t="str">
        <x:f>IF(COUNTA(A23:F23)=0,"",IF(A23="","Informe ID",IF(COUNTIFS($A$7:$A$56,A23)&gt;1,"Duplicado",IF(OR(B23="",C23="",NOT(ISNUMBER(D23)),NOT(ISNUMBER(E23)),D23&lt;=0,E23&lt;D23,AND(F23&lt;&gt;"Ativo",F23&lt;&gt;"Encerrado")),"Incompleto","OK"))))</x:f>
      </x:c>
    </x:row>
    <x:row r="24" ht="40" customHeight="1">
      <x:c r="A24" s="23"/>
      <x:c r="B24" s="24"/>
      <x:c r="C24" s="24"/>
      <x:c r="D24" s="13"/>
      <x:c r="E24" s="13"/>
      <x:c r="F24" s="23"/>
      <x:c r="G24" s="17" t="str">
        <x:f>IF('Auxiliar'!B8&lt;&gt;"OK","",IF(A24="","",IF(I24&lt;&gt;"OK","",E24-'Auxiliar'!$B$5)))</x:f>
      </x:c>
      <x:c r="H24" s="17" t="str">
        <x:f>IF(A24="","",IF('Auxiliar'!B8&lt;&gt;"OK","Conferir Auxiliar",IF(A24="","",IF(I24&lt;&gt;"OK","Conferir cadastro",IF(F24="Encerrado","Encerrado",IF(G24&lt;0,"Vencido",IF(G24=0,"Vence hoje",IF(G24&lt;=30,"Em até 30 dias","Em prazo"))))))))</x:f>
      </x:c>
      <x:c r="I24" s="17" t="str">
        <x:f>IF(COUNTA(A24:F24)=0,"",IF(A24="","Informe ID",IF(COUNTIFS($A$7:$A$56,A24)&gt;1,"Duplicado",IF(OR(B24="",C24="",NOT(ISNUMBER(D24)),NOT(ISNUMBER(E24)),D24&lt;=0,E24&lt;D24,AND(F24&lt;&gt;"Ativo",F24&lt;&gt;"Encerrado")),"Incompleto","OK"))))</x:f>
      </x:c>
    </x:row>
    <x:row r="25" ht="40" customHeight="1">
      <x:c r="A25" s="23"/>
      <x:c r="B25" s="24"/>
      <x:c r="C25" s="24"/>
      <x:c r="D25" s="13"/>
      <x:c r="E25" s="13"/>
      <x:c r="F25" s="23"/>
      <x:c r="G25" s="17" t="str">
        <x:f>IF('Auxiliar'!B8&lt;&gt;"OK","",IF(A25="","",IF(I25&lt;&gt;"OK","",E25-'Auxiliar'!$B$5)))</x:f>
      </x:c>
      <x:c r="H25" s="17" t="str">
        <x:f>IF(A25="","",IF('Auxiliar'!B8&lt;&gt;"OK","Conferir Auxiliar",IF(A25="","",IF(I25&lt;&gt;"OK","Conferir cadastro",IF(F25="Encerrado","Encerrado",IF(G25&lt;0,"Vencido",IF(G25=0,"Vence hoje",IF(G25&lt;=30,"Em até 30 dias","Em prazo"))))))))</x:f>
      </x:c>
      <x:c r="I25" s="17" t="str">
        <x:f>IF(COUNTA(A25:F25)=0,"",IF(A25="","Informe ID",IF(COUNTIFS($A$7:$A$56,A25)&gt;1,"Duplicado",IF(OR(B25="",C25="",NOT(ISNUMBER(D25)),NOT(ISNUMBER(E25)),D25&lt;=0,E25&lt;D25,AND(F25&lt;&gt;"Ativo",F25&lt;&gt;"Encerrado")),"Incompleto","OK"))))</x:f>
      </x:c>
    </x:row>
    <x:row r="26" ht="40" customHeight="1">
      <x:c r="A26" s="23"/>
      <x:c r="B26" s="24"/>
      <x:c r="C26" s="24"/>
      <x:c r="D26" s="13"/>
      <x:c r="E26" s="13"/>
      <x:c r="F26" s="23"/>
      <x:c r="G26" s="17" t="str">
        <x:f>IF('Auxiliar'!B8&lt;&gt;"OK","",IF(A26="","",IF(I26&lt;&gt;"OK","",E26-'Auxiliar'!$B$5)))</x:f>
      </x:c>
      <x:c r="H26" s="17" t="str">
        <x:f>IF(A26="","",IF('Auxiliar'!B8&lt;&gt;"OK","Conferir Auxiliar",IF(A26="","",IF(I26&lt;&gt;"OK","Conferir cadastro",IF(F26="Encerrado","Encerrado",IF(G26&lt;0,"Vencido",IF(G26=0,"Vence hoje",IF(G26&lt;=30,"Em até 30 dias","Em prazo"))))))))</x:f>
      </x:c>
      <x:c r="I26" s="17" t="str">
        <x:f>IF(COUNTA(A26:F26)=0,"",IF(A26="","Informe ID",IF(COUNTIFS($A$7:$A$56,A26)&gt;1,"Duplicado",IF(OR(B26="",C26="",NOT(ISNUMBER(D26)),NOT(ISNUMBER(E26)),D26&lt;=0,E26&lt;D26,AND(F26&lt;&gt;"Ativo",F26&lt;&gt;"Encerrado")),"Incompleto","OK"))))</x:f>
      </x:c>
    </x:row>
    <x:row r="27" ht="40" customHeight="1">
      <x:c r="A27" s="23"/>
      <x:c r="B27" s="24"/>
      <x:c r="C27" s="24"/>
      <x:c r="D27" s="13"/>
      <x:c r="E27" s="13"/>
      <x:c r="F27" s="23"/>
      <x:c r="G27" s="17" t="str">
        <x:f>IF('Auxiliar'!B8&lt;&gt;"OK","",IF(A27="","",IF(I27&lt;&gt;"OK","",E27-'Auxiliar'!$B$5)))</x:f>
      </x:c>
      <x:c r="H27" s="17" t="str">
        <x:f>IF(A27="","",IF('Auxiliar'!B8&lt;&gt;"OK","Conferir Auxiliar",IF(A27="","",IF(I27&lt;&gt;"OK","Conferir cadastro",IF(F27="Encerrado","Encerrado",IF(G27&lt;0,"Vencido",IF(G27=0,"Vence hoje",IF(G27&lt;=30,"Em até 30 dias","Em prazo"))))))))</x:f>
      </x:c>
      <x:c r="I27" s="17" t="str">
        <x:f>IF(COUNTA(A27:F27)=0,"",IF(A27="","Informe ID",IF(COUNTIFS($A$7:$A$56,A27)&gt;1,"Duplicado",IF(OR(B27="",C27="",NOT(ISNUMBER(D27)),NOT(ISNUMBER(E27)),D27&lt;=0,E27&lt;D27,AND(F27&lt;&gt;"Ativo",F27&lt;&gt;"Encerrado")),"Incompleto","OK"))))</x:f>
      </x:c>
    </x:row>
    <x:row r="28" ht="40" customHeight="1">
      <x:c r="A28" s="23"/>
      <x:c r="B28" s="24"/>
      <x:c r="C28" s="24"/>
      <x:c r="D28" s="13"/>
      <x:c r="E28" s="13"/>
      <x:c r="F28" s="23"/>
      <x:c r="G28" s="17" t="str">
        <x:f>IF('Auxiliar'!B8&lt;&gt;"OK","",IF(A28="","",IF(I28&lt;&gt;"OK","",E28-'Auxiliar'!$B$5)))</x:f>
      </x:c>
      <x:c r="H28" s="17" t="str">
        <x:f>IF(A28="","",IF('Auxiliar'!B8&lt;&gt;"OK","Conferir Auxiliar",IF(A28="","",IF(I28&lt;&gt;"OK","Conferir cadastro",IF(F28="Encerrado","Encerrado",IF(G28&lt;0,"Vencido",IF(G28=0,"Vence hoje",IF(G28&lt;=30,"Em até 30 dias","Em prazo"))))))))</x:f>
      </x:c>
      <x:c r="I28" s="17" t="str">
        <x:f>IF(COUNTA(A28:F28)=0,"",IF(A28="","Informe ID",IF(COUNTIFS($A$7:$A$56,A28)&gt;1,"Duplicado",IF(OR(B28="",C28="",NOT(ISNUMBER(D28)),NOT(ISNUMBER(E28)),D28&lt;=0,E28&lt;D28,AND(F28&lt;&gt;"Ativo",F28&lt;&gt;"Encerrado")),"Incompleto","OK"))))</x:f>
      </x:c>
    </x:row>
    <x:row r="29" ht="40" customHeight="1">
      <x:c r="A29" s="23"/>
      <x:c r="B29" s="24"/>
      <x:c r="C29" s="24"/>
      <x:c r="D29" s="13"/>
      <x:c r="E29" s="13"/>
      <x:c r="F29" s="23"/>
      <x:c r="G29" s="17" t="str">
        <x:f>IF('Auxiliar'!B8&lt;&gt;"OK","",IF(A29="","",IF(I29&lt;&gt;"OK","",E29-'Auxiliar'!$B$5)))</x:f>
      </x:c>
      <x:c r="H29" s="17" t="str">
        <x:f>IF(A29="","",IF('Auxiliar'!B8&lt;&gt;"OK","Conferir Auxiliar",IF(A29="","",IF(I29&lt;&gt;"OK","Conferir cadastro",IF(F29="Encerrado","Encerrado",IF(G29&lt;0,"Vencido",IF(G29=0,"Vence hoje",IF(G29&lt;=30,"Em até 30 dias","Em prazo"))))))))</x:f>
      </x:c>
      <x:c r="I29" s="17" t="str">
        <x:f>IF(COUNTA(A29:F29)=0,"",IF(A29="","Informe ID",IF(COUNTIFS($A$7:$A$56,A29)&gt;1,"Duplicado",IF(OR(B29="",C29="",NOT(ISNUMBER(D29)),NOT(ISNUMBER(E29)),D29&lt;=0,E29&lt;D29,AND(F29&lt;&gt;"Ativo",F29&lt;&gt;"Encerrado")),"Incompleto","OK"))))</x:f>
      </x:c>
    </x:row>
    <x:row r="30" ht="40" customHeight="1">
      <x:c r="A30" s="23"/>
      <x:c r="B30" s="24"/>
      <x:c r="C30" s="24"/>
      <x:c r="D30" s="13"/>
      <x:c r="E30" s="13"/>
      <x:c r="F30" s="23"/>
      <x:c r="G30" s="17" t="str">
        <x:f>IF('Auxiliar'!B8&lt;&gt;"OK","",IF(A30="","",IF(I30&lt;&gt;"OK","",E30-'Auxiliar'!$B$5)))</x:f>
      </x:c>
      <x:c r="H30" s="17" t="str">
        <x:f>IF(A30="","",IF('Auxiliar'!B8&lt;&gt;"OK","Conferir Auxiliar",IF(A30="","",IF(I30&lt;&gt;"OK","Conferir cadastro",IF(F30="Encerrado","Encerrado",IF(G30&lt;0,"Vencido",IF(G30=0,"Vence hoje",IF(G30&lt;=30,"Em até 30 dias","Em prazo"))))))))</x:f>
      </x:c>
      <x:c r="I30" s="17" t="str">
        <x:f>IF(COUNTA(A30:F30)=0,"",IF(A30="","Informe ID",IF(COUNTIFS($A$7:$A$56,A30)&gt;1,"Duplicado",IF(OR(B30="",C30="",NOT(ISNUMBER(D30)),NOT(ISNUMBER(E30)),D30&lt;=0,E30&lt;D30,AND(F30&lt;&gt;"Ativo",F30&lt;&gt;"Encerrado")),"Incompleto","OK"))))</x:f>
      </x:c>
    </x:row>
    <x:row r="31" ht="40" customHeight="1">
      <x:c r="A31" s="23"/>
      <x:c r="B31" s="24"/>
      <x:c r="C31" s="24"/>
      <x:c r="D31" s="13"/>
      <x:c r="E31" s="13"/>
      <x:c r="F31" s="23"/>
      <x:c r="G31" s="17" t="str">
        <x:f>IF('Auxiliar'!B8&lt;&gt;"OK","",IF(A31="","",IF(I31&lt;&gt;"OK","",E31-'Auxiliar'!$B$5)))</x:f>
      </x:c>
      <x:c r="H31" s="17" t="str">
        <x:f>IF(A31="","",IF('Auxiliar'!B8&lt;&gt;"OK","Conferir Auxiliar",IF(A31="","",IF(I31&lt;&gt;"OK","Conferir cadastro",IF(F31="Encerrado","Encerrado",IF(G31&lt;0,"Vencido",IF(G31=0,"Vence hoje",IF(G31&lt;=30,"Em até 30 dias","Em prazo"))))))))</x:f>
      </x:c>
      <x:c r="I31" s="17" t="str">
        <x:f>IF(COUNTA(A31:F31)=0,"",IF(A31="","Informe ID",IF(COUNTIFS($A$7:$A$56,A31)&gt;1,"Duplicado",IF(OR(B31="",C31="",NOT(ISNUMBER(D31)),NOT(ISNUMBER(E31)),D31&lt;=0,E31&lt;D31,AND(F31&lt;&gt;"Ativo",F31&lt;&gt;"Encerrado")),"Incompleto","OK"))))</x:f>
      </x:c>
    </x:row>
    <x:row r="32" ht="40" customHeight="1">
      <x:c r="A32" s="23"/>
      <x:c r="B32" s="24"/>
      <x:c r="C32" s="24"/>
      <x:c r="D32" s="13"/>
      <x:c r="E32" s="13"/>
      <x:c r="F32" s="23"/>
      <x:c r="G32" s="17" t="str">
        <x:f>IF('Auxiliar'!B8&lt;&gt;"OK","",IF(A32="","",IF(I32&lt;&gt;"OK","",E32-'Auxiliar'!$B$5)))</x:f>
      </x:c>
      <x:c r="H32" s="17" t="str">
        <x:f>IF(A32="","",IF('Auxiliar'!B8&lt;&gt;"OK","Conferir Auxiliar",IF(A32="","",IF(I32&lt;&gt;"OK","Conferir cadastro",IF(F32="Encerrado","Encerrado",IF(G32&lt;0,"Vencido",IF(G32=0,"Vence hoje",IF(G32&lt;=30,"Em até 30 dias","Em prazo"))))))))</x:f>
      </x:c>
      <x:c r="I32" s="17" t="str">
        <x:f>IF(COUNTA(A32:F32)=0,"",IF(A32="","Informe ID",IF(COUNTIFS($A$7:$A$56,A32)&gt;1,"Duplicado",IF(OR(B32="",C32="",NOT(ISNUMBER(D32)),NOT(ISNUMBER(E32)),D32&lt;=0,E32&lt;D32,AND(F32&lt;&gt;"Ativo",F32&lt;&gt;"Encerrado")),"Incompleto","OK"))))</x:f>
      </x:c>
    </x:row>
    <x:row r="33" ht="40" customHeight="1">
      <x:c r="A33" s="23"/>
      <x:c r="B33" s="24"/>
      <x:c r="C33" s="24"/>
      <x:c r="D33" s="13"/>
      <x:c r="E33" s="13"/>
      <x:c r="F33" s="23"/>
      <x:c r="G33" s="17" t="str">
        <x:f>IF('Auxiliar'!B8&lt;&gt;"OK","",IF(A33="","",IF(I33&lt;&gt;"OK","",E33-'Auxiliar'!$B$5)))</x:f>
      </x:c>
      <x:c r="H33" s="17" t="str">
        <x:f>IF(A33="","",IF('Auxiliar'!B8&lt;&gt;"OK","Conferir Auxiliar",IF(A33="","",IF(I33&lt;&gt;"OK","Conferir cadastro",IF(F33="Encerrado","Encerrado",IF(G33&lt;0,"Vencido",IF(G33=0,"Vence hoje",IF(G33&lt;=30,"Em até 30 dias","Em prazo"))))))))</x:f>
      </x:c>
      <x:c r="I33" s="17" t="str">
        <x:f>IF(COUNTA(A33:F33)=0,"",IF(A33="","Informe ID",IF(COUNTIFS($A$7:$A$56,A33)&gt;1,"Duplicado",IF(OR(B33="",C33="",NOT(ISNUMBER(D33)),NOT(ISNUMBER(E33)),D33&lt;=0,E33&lt;D33,AND(F33&lt;&gt;"Ativo",F33&lt;&gt;"Encerrado")),"Incompleto","OK"))))</x:f>
      </x:c>
    </x:row>
    <x:row r="34" ht="40" customHeight="1">
      <x:c r="A34" s="23"/>
      <x:c r="B34" s="24"/>
      <x:c r="C34" s="24"/>
      <x:c r="D34" s="13"/>
      <x:c r="E34" s="13"/>
      <x:c r="F34" s="23"/>
      <x:c r="G34" s="17" t="str">
        <x:f>IF('Auxiliar'!B8&lt;&gt;"OK","",IF(A34="","",IF(I34&lt;&gt;"OK","",E34-'Auxiliar'!$B$5)))</x:f>
      </x:c>
      <x:c r="H34" s="17" t="str">
        <x:f>IF(A34="","",IF('Auxiliar'!B8&lt;&gt;"OK","Conferir Auxiliar",IF(A34="","",IF(I34&lt;&gt;"OK","Conferir cadastro",IF(F34="Encerrado","Encerrado",IF(G34&lt;0,"Vencido",IF(G34=0,"Vence hoje",IF(G34&lt;=30,"Em até 30 dias","Em prazo"))))))))</x:f>
      </x:c>
      <x:c r="I34" s="17" t="str">
        <x:f>IF(COUNTA(A34:F34)=0,"",IF(A34="","Informe ID",IF(COUNTIFS($A$7:$A$56,A34)&gt;1,"Duplicado",IF(OR(B34="",C34="",NOT(ISNUMBER(D34)),NOT(ISNUMBER(E34)),D34&lt;=0,E34&lt;D34,AND(F34&lt;&gt;"Ativo",F34&lt;&gt;"Encerrado")),"Incompleto","OK"))))</x:f>
      </x:c>
    </x:row>
    <x:row r="35" ht="40" customHeight="1">
      <x:c r="A35" s="23"/>
      <x:c r="B35" s="24"/>
      <x:c r="C35" s="24"/>
      <x:c r="D35" s="13"/>
      <x:c r="E35" s="13"/>
      <x:c r="F35" s="23"/>
      <x:c r="G35" s="17" t="str">
        <x:f>IF('Auxiliar'!B8&lt;&gt;"OK","",IF(A35="","",IF(I35&lt;&gt;"OK","",E35-'Auxiliar'!$B$5)))</x:f>
      </x:c>
      <x:c r="H35" s="17" t="str">
        <x:f>IF(A35="","",IF('Auxiliar'!B8&lt;&gt;"OK","Conferir Auxiliar",IF(A35="","",IF(I35&lt;&gt;"OK","Conferir cadastro",IF(F35="Encerrado","Encerrado",IF(G35&lt;0,"Vencido",IF(G35=0,"Vence hoje",IF(G35&lt;=30,"Em até 30 dias","Em prazo"))))))))</x:f>
      </x:c>
      <x:c r="I35" s="17" t="str">
        <x:f>IF(COUNTA(A35:F35)=0,"",IF(A35="","Informe ID",IF(COUNTIFS($A$7:$A$56,A35)&gt;1,"Duplicado",IF(OR(B35="",C35="",NOT(ISNUMBER(D35)),NOT(ISNUMBER(E35)),D35&lt;=0,E35&lt;D35,AND(F35&lt;&gt;"Ativo",F35&lt;&gt;"Encerrado")),"Incompleto","OK"))))</x:f>
      </x:c>
    </x:row>
    <x:row r="36" ht="40" customHeight="1">
      <x:c r="A36" s="23"/>
      <x:c r="B36" s="24"/>
      <x:c r="C36" s="24"/>
      <x:c r="D36" s="13"/>
      <x:c r="E36" s="13"/>
      <x:c r="F36" s="23"/>
      <x:c r="G36" s="17" t="str">
        <x:f>IF('Auxiliar'!B8&lt;&gt;"OK","",IF(A36="","",IF(I36&lt;&gt;"OK","",E36-'Auxiliar'!$B$5)))</x:f>
      </x:c>
      <x:c r="H36" s="17" t="str">
        <x:f>IF(A36="","",IF('Auxiliar'!B8&lt;&gt;"OK","Conferir Auxiliar",IF(A36="","",IF(I36&lt;&gt;"OK","Conferir cadastro",IF(F36="Encerrado","Encerrado",IF(G36&lt;0,"Vencido",IF(G36=0,"Vence hoje",IF(G36&lt;=30,"Em até 30 dias","Em prazo"))))))))</x:f>
      </x:c>
      <x:c r="I36" s="17" t="str">
        <x:f>IF(COUNTA(A36:F36)=0,"",IF(A36="","Informe ID",IF(COUNTIFS($A$7:$A$56,A36)&gt;1,"Duplicado",IF(OR(B36="",C36="",NOT(ISNUMBER(D36)),NOT(ISNUMBER(E36)),D36&lt;=0,E36&lt;D36,AND(F36&lt;&gt;"Ativo",F36&lt;&gt;"Encerrado")),"Incompleto","OK"))))</x:f>
      </x:c>
    </x:row>
    <x:row r="37" ht="40" customHeight="1">
      <x:c r="A37" s="23"/>
      <x:c r="B37" s="24"/>
      <x:c r="C37" s="24"/>
      <x:c r="D37" s="13"/>
      <x:c r="E37" s="13"/>
      <x:c r="F37" s="23"/>
      <x:c r="G37" s="17" t="str">
        <x:f>IF('Auxiliar'!B8&lt;&gt;"OK","",IF(A37="","",IF(I37&lt;&gt;"OK","",E37-'Auxiliar'!$B$5)))</x:f>
      </x:c>
      <x:c r="H37" s="17" t="str">
        <x:f>IF(A37="","",IF('Auxiliar'!B8&lt;&gt;"OK","Conferir Auxiliar",IF(A37="","",IF(I37&lt;&gt;"OK","Conferir cadastro",IF(F37="Encerrado","Encerrado",IF(G37&lt;0,"Vencido",IF(G37=0,"Vence hoje",IF(G37&lt;=30,"Em até 30 dias","Em prazo"))))))))</x:f>
      </x:c>
      <x:c r="I37" s="17" t="str">
        <x:f>IF(COUNTA(A37:F37)=0,"",IF(A37="","Informe ID",IF(COUNTIFS($A$7:$A$56,A37)&gt;1,"Duplicado",IF(OR(B37="",C37="",NOT(ISNUMBER(D37)),NOT(ISNUMBER(E37)),D37&lt;=0,E37&lt;D37,AND(F37&lt;&gt;"Ativo",F37&lt;&gt;"Encerrado")),"Incompleto","OK"))))</x:f>
      </x:c>
    </x:row>
    <x:row r="38" ht="40" customHeight="1">
      <x:c r="A38" s="23"/>
      <x:c r="B38" s="24"/>
      <x:c r="C38" s="24"/>
      <x:c r="D38" s="13"/>
      <x:c r="E38" s="13"/>
      <x:c r="F38" s="23"/>
      <x:c r="G38" s="17" t="str">
        <x:f>IF('Auxiliar'!B8&lt;&gt;"OK","",IF(A38="","",IF(I38&lt;&gt;"OK","",E38-'Auxiliar'!$B$5)))</x:f>
      </x:c>
      <x:c r="H38" s="17" t="str">
        <x:f>IF(A38="","",IF('Auxiliar'!B8&lt;&gt;"OK","Conferir Auxiliar",IF(A38="","",IF(I38&lt;&gt;"OK","Conferir cadastro",IF(F38="Encerrado","Encerrado",IF(G38&lt;0,"Vencido",IF(G38=0,"Vence hoje",IF(G38&lt;=30,"Em até 30 dias","Em prazo"))))))))</x:f>
      </x:c>
      <x:c r="I38" s="17" t="str">
        <x:f>IF(COUNTA(A38:F38)=0,"",IF(A38="","Informe ID",IF(COUNTIFS($A$7:$A$56,A38)&gt;1,"Duplicado",IF(OR(B38="",C38="",NOT(ISNUMBER(D38)),NOT(ISNUMBER(E38)),D38&lt;=0,E38&lt;D38,AND(F38&lt;&gt;"Ativo",F38&lt;&gt;"Encerrado")),"Incompleto","OK"))))</x:f>
      </x:c>
    </x:row>
    <x:row r="39" ht="40" customHeight="1">
      <x:c r="A39" s="23"/>
      <x:c r="B39" s="24"/>
      <x:c r="C39" s="24"/>
      <x:c r="D39" s="13"/>
      <x:c r="E39" s="13"/>
      <x:c r="F39" s="23"/>
      <x:c r="G39" s="17" t="str">
        <x:f>IF('Auxiliar'!B8&lt;&gt;"OK","",IF(A39="","",IF(I39&lt;&gt;"OK","",E39-'Auxiliar'!$B$5)))</x:f>
      </x:c>
      <x:c r="H39" s="17" t="str">
        <x:f>IF(A39="","",IF('Auxiliar'!B8&lt;&gt;"OK","Conferir Auxiliar",IF(A39="","",IF(I39&lt;&gt;"OK","Conferir cadastro",IF(F39="Encerrado","Encerrado",IF(G39&lt;0,"Vencido",IF(G39=0,"Vence hoje",IF(G39&lt;=30,"Em até 30 dias","Em prazo"))))))))</x:f>
      </x:c>
      <x:c r="I39" s="17" t="str">
        <x:f>IF(COUNTA(A39:F39)=0,"",IF(A39="","Informe ID",IF(COUNTIFS($A$7:$A$56,A39)&gt;1,"Duplicado",IF(OR(B39="",C39="",NOT(ISNUMBER(D39)),NOT(ISNUMBER(E39)),D39&lt;=0,E39&lt;D39,AND(F39&lt;&gt;"Ativo",F39&lt;&gt;"Encerrado")),"Incompleto","OK"))))</x:f>
      </x:c>
    </x:row>
    <x:row r="40" ht="40" customHeight="1">
      <x:c r="A40" s="23"/>
      <x:c r="B40" s="24"/>
      <x:c r="C40" s="24"/>
      <x:c r="D40" s="13"/>
      <x:c r="E40" s="13"/>
      <x:c r="F40" s="23"/>
      <x:c r="G40" s="17" t="str">
        <x:f>IF('Auxiliar'!B8&lt;&gt;"OK","",IF(A40="","",IF(I40&lt;&gt;"OK","",E40-'Auxiliar'!$B$5)))</x:f>
      </x:c>
      <x:c r="H40" s="17" t="str">
        <x:f>IF(A40="","",IF('Auxiliar'!B8&lt;&gt;"OK","Conferir Auxiliar",IF(A40="","",IF(I40&lt;&gt;"OK","Conferir cadastro",IF(F40="Encerrado","Encerrado",IF(G40&lt;0,"Vencido",IF(G40=0,"Vence hoje",IF(G40&lt;=30,"Em até 30 dias","Em prazo"))))))))</x:f>
      </x:c>
      <x:c r="I40" s="17" t="str">
        <x:f>IF(COUNTA(A40:F40)=0,"",IF(A40="","Informe ID",IF(COUNTIFS($A$7:$A$56,A40)&gt;1,"Duplicado",IF(OR(B40="",C40="",NOT(ISNUMBER(D40)),NOT(ISNUMBER(E40)),D40&lt;=0,E40&lt;D40,AND(F40&lt;&gt;"Ativo",F40&lt;&gt;"Encerrado")),"Incompleto","OK"))))</x:f>
      </x:c>
    </x:row>
    <x:row r="41" ht="40" customHeight="1">
      <x:c r="A41" s="23"/>
      <x:c r="B41" s="24"/>
      <x:c r="C41" s="24"/>
      <x:c r="D41" s="13"/>
      <x:c r="E41" s="13"/>
      <x:c r="F41" s="23"/>
      <x:c r="G41" s="17" t="str">
        <x:f>IF('Auxiliar'!B8&lt;&gt;"OK","",IF(A41="","",IF(I41&lt;&gt;"OK","",E41-'Auxiliar'!$B$5)))</x:f>
      </x:c>
      <x:c r="H41" s="17" t="str">
        <x:f>IF(A41="","",IF('Auxiliar'!B8&lt;&gt;"OK","Conferir Auxiliar",IF(A41="","",IF(I41&lt;&gt;"OK","Conferir cadastro",IF(F41="Encerrado","Encerrado",IF(G41&lt;0,"Vencido",IF(G41=0,"Vence hoje",IF(G41&lt;=30,"Em até 30 dias","Em prazo"))))))))</x:f>
      </x:c>
      <x:c r="I41" s="17" t="str">
        <x:f>IF(COUNTA(A41:F41)=0,"",IF(A41="","Informe ID",IF(COUNTIFS($A$7:$A$56,A41)&gt;1,"Duplicado",IF(OR(B41="",C41="",NOT(ISNUMBER(D41)),NOT(ISNUMBER(E41)),D41&lt;=0,E41&lt;D41,AND(F41&lt;&gt;"Ativo",F41&lt;&gt;"Encerrado")),"Incompleto","OK"))))</x:f>
      </x:c>
    </x:row>
    <x:row r="42" ht="40" customHeight="1">
      <x:c r="A42" s="23"/>
      <x:c r="B42" s="24"/>
      <x:c r="C42" s="24"/>
      <x:c r="D42" s="13"/>
      <x:c r="E42" s="13"/>
      <x:c r="F42" s="23"/>
      <x:c r="G42" s="17" t="str">
        <x:f>IF('Auxiliar'!B8&lt;&gt;"OK","",IF(A42="","",IF(I42&lt;&gt;"OK","",E42-'Auxiliar'!$B$5)))</x:f>
      </x:c>
      <x:c r="H42" s="17" t="str">
        <x:f>IF(A42="","",IF('Auxiliar'!B8&lt;&gt;"OK","Conferir Auxiliar",IF(A42="","",IF(I42&lt;&gt;"OK","Conferir cadastro",IF(F42="Encerrado","Encerrado",IF(G42&lt;0,"Vencido",IF(G42=0,"Vence hoje",IF(G42&lt;=30,"Em até 30 dias","Em prazo"))))))))</x:f>
      </x:c>
      <x:c r="I42" s="17" t="str">
        <x:f>IF(COUNTA(A42:F42)=0,"",IF(A42="","Informe ID",IF(COUNTIFS($A$7:$A$56,A42)&gt;1,"Duplicado",IF(OR(B42="",C42="",NOT(ISNUMBER(D42)),NOT(ISNUMBER(E42)),D42&lt;=0,E42&lt;D42,AND(F42&lt;&gt;"Ativo",F42&lt;&gt;"Encerrado")),"Incompleto","OK"))))</x:f>
      </x:c>
    </x:row>
    <x:row r="43" ht="40" customHeight="1">
      <x:c r="A43" s="23"/>
      <x:c r="B43" s="24"/>
      <x:c r="C43" s="24"/>
      <x:c r="D43" s="13"/>
      <x:c r="E43" s="13"/>
      <x:c r="F43" s="23"/>
      <x:c r="G43" s="17" t="str">
        <x:f>IF('Auxiliar'!B8&lt;&gt;"OK","",IF(A43="","",IF(I43&lt;&gt;"OK","",E43-'Auxiliar'!$B$5)))</x:f>
      </x:c>
      <x:c r="H43" s="17" t="str">
        <x:f>IF(A43="","",IF('Auxiliar'!B8&lt;&gt;"OK","Conferir Auxiliar",IF(A43="","",IF(I43&lt;&gt;"OK","Conferir cadastro",IF(F43="Encerrado","Encerrado",IF(G43&lt;0,"Vencido",IF(G43=0,"Vence hoje",IF(G43&lt;=30,"Em até 30 dias","Em prazo"))))))))</x:f>
      </x:c>
      <x:c r="I43" s="17" t="str">
        <x:f>IF(COUNTA(A43:F43)=0,"",IF(A43="","Informe ID",IF(COUNTIFS($A$7:$A$56,A43)&gt;1,"Duplicado",IF(OR(B43="",C43="",NOT(ISNUMBER(D43)),NOT(ISNUMBER(E43)),D43&lt;=0,E43&lt;D43,AND(F43&lt;&gt;"Ativo",F43&lt;&gt;"Encerrado")),"Incompleto","OK"))))</x:f>
      </x:c>
    </x:row>
    <x:row r="44" ht="40" customHeight="1">
      <x:c r="A44" s="23"/>
      <x:c r="B44" s="24"/>
      <x:c r="C44" s="24"/>
      <x:c r="D44" s="13"/>
      <x:c r="E44" s="13"/>
      <x:c r="F44" s="23"/>
      <x:c r="G44" s="17" t="str">
        <x:f>IF('Auxiliar'!B8&lt;&gt;"OK","",IF(A44="","",IF(I44&lt;&gt;"OK","",E44-'Auxiliar'!$B$5)))</x:f>
      </x:c>
      <x:c r="H44" s="17" t="str">
        <x:f>IF(A44="","",IF('Auxiliar'!B8&lt;&gt;"OK","Conferir Auxiliar",IF(A44="","",IF(I44&lt;&gt;"OK","Conferir cadastro",IF(F44="Encerrado","Encerrado",IF(G44&lt;0,"Vencido",IF(G44=0,"Vence hoje",IF(G44&lt;=30,"Em até 30 dias","Em prazo"))))))))</x:f>
      </x:c>
      <x:c r="I44" s="17" t="str">
        <x:f>IF(COUNTA(A44:F44)=0,"",IF(A44="","Informe ID",IF(COUNTIFS($A$7:$A$56,A44)&gt;1,"Duplicado",IF(OR(B44="",C44="",NOT(ISNUMBER(D44)),NOT(ISNUMBER(E44)),D44&lt;=0,E44&lt;D44,AND(F44&lt;&gt;"Ativo",F44&lt;&gt;"Encerrado")),"Incompleto","OK"))))</x:f>
      </x:c>
    </x:row>
    <x:row r="45" ht="40" customHeight="1">
      <x:c r="A45" s="23"/>
      <x:c r="B45" s="24"/>
      <x:c r="C45" s="24"/>
      <x:c r="D45" s="13"/>
      <x:c r="E45" s="13"/>
      <x:c r="F45" s="23"/>
      <x:c r="G45" s="17" t="str">
        <x:f>IF('Auxiliar'!B8&lt;&gt;"OK","",IF(A45="","",IF(I45&lt;&gt;"OK","",E45-'Auxiliar'!$B$5)))</x:f>
      </x:c>
      <x:c r="H45" s="17" t="str">
        <x:f>IF(A45="","",IF('Auxiliar'!B8&lt;&gt;"OK","Conferir Auxiliar",IF(A45="","",IF(I45&lt;&gt;"OK","Conferir cadastro",IF(F45="Encerrado","Encerrado",IF(G45&lt;0,"Vencido",IF(G45=0,"Vence hoje",IF(G45&lt;=30,"Em até 30 dias","Em prazo"))))))))</x:f>
      </x:c>
      <x:c r="I45" s="17" t="str">
        <x:f>IF(COUNTA(A45:F45)=0,"",IF(A45="","Informe ID",IF(COUNTIFS($A$7:$A$56,A45)&gt;1,"Duplicado",IF(OR(B45="",C45="",NOT(ISNUMBER(D45)),NOT(ISNUMBER(E45)),D45&lt;=0,E45&lt;D45,AND(F45&lt;&gt;"Ativo",F45&lt;&gt;"Encerrado")),"Incompleto","OK"))))</x:f>
      </x:c>
    </x:row>
    <x:row r="46" ht="40" customHeight="1">
      <x:c r="A46" s="23"/>
      <x:c r="B46" s="24"/>
      <x:c r="C46" s="24"/>
      <x:c r="D46" s="13"/>
      <x:c r="E46" s="13"/>
      <x:c r="F46" s="23"/>
      <x:c r="G46" s="17" t="str">
        <x:f>IF('Auxiliar'!B8&lt;&gt;"OK","",IF(A46="","",IF(I46&lt;&gt;"OK","",E46-'Auxiliar'!$B$5)))</x:f>
      </x:c>
      <x:c r="H46" s="17" t="str">
        <x:f>IF(A46="","",IF('Auxiliar'!B8&lt;&gt;"OK","Conferir Auxiliar",IF(A46="","",IF(I46&lt;&gt;"OK","Conferir cadastro",IF(F46="Encerrado","Encerrado",IF(G46&lt;0,"Vencido",IF(G46=0,"Vence hoje",IF(G46&lt;=30,"Em até 30 dias","Em prazo"))))))))</x:f>
      </x:c>
      <x:c r="I46" s="17" t="str">
        <x:f>IF(COUNTA(A46:F46)=0,"",IF(A46="","Informe ID",IF(COUNTIFS($A$7:$A$56,A46)&gt;1,"Duplicado",IF(OR(B46="",C46="",NOT(ISNUMBER(D46)),NOT(ISNUMBER(E46)),D46&lt;=0,E46&lt;D46,AND(F46&lt;&gt;"Ativo",F46&lt;&gt;"Encerrado")),"Incompleto","OK"))))</x:f>
      </x:c>
    </x:row>
    <x:row r="47" ht="40" customHeight="1">
      <x:c r="A47" s="23"/>
      <x:c r="B47" s="24"/>
      <x:c r="C47" s="24"/>
      <x:c r="D47" s="13"/>
      <x:c r="E47" s="13"/>
      <x:c r="F47" s="23"/>
      <x:c r="G47" s="17" t="str">
        <x:f>IF('Auxiliar'!B8&lt;&gt;"OK","",IF(A47="","",IF(I47&lt;&gt;"OK","",E47-'Auxiliar'!$B$5)))</x:f>
      </x:c>
      <x:c r="H47" s="17" t="str">
        <x:f>IF(A47="","",IF('Auxiliar'!B8&lt;&gt;"OK","Conferir Auxiliar",IF(A47="","",IF(I47&lt;&gt;"OK","Conferir cadastro",IF(F47="Encerrado","Encerrado",IF(G47&lt;0,"Vencido",IF(G47=0,"Vence hoje",IF(G47&lt;=30,"Em até 30 dias","Em prazo"))))))))</x:f>
      </x:c>
      <x:c r="I47" s="17" t="str">
        <x:f>IF(COUNTA(A47:F47)=0,"",IF(A47="","Informe ID",IF(COUNTIFS($A$7:$A$56,A47)&gt;1,"Duplicado",IF(OR(B47="",C47="",NOT(ISNUMBER(D47)),NOT(ISNUMBER(E47)),D47&lt;=0,E47&lt;D47,AND(F47&lt;&gt;"Ativo",F47&lt;&gt;"Encerrado")),"Incompleto","OK"))))</x:f>
      </x:c>
    </x:row>
    <x:row r="48" ht="40" customHeight="1">
      <x:c r="A48" s="23"/>
      <x:c r="B48" s="24"/>
      <x:c r="C48" s="24"/>
      <x:c r="D48" s="13"/>
      <x:c r="E48" s="13"/>
      <x:c r="F48" s="23"/>
      <x:c r="G48" s="17" t="str">
        <x:f>IF('Auxiliar'!B8&lt;&gt;"OK","",IF(A48="","",IF(I48&lt;&gt;"OK","",E48-'Auxiliar'!$B$5)))</x:f>
      </x:c>
      <x:c r="H48" s="17" t="str">
        <x:f>IF(A48="","",IF('Auxiliar'!B8&lt;&gt;"OK","Conferir Auxiliar",IF(A48="","",IF(I48&lt;&gt;"OK","Conferir cadastro",IF(F48="Encerrado","Encerrado",IF(G48&lt;0,"Vencido",IF(G48=0,"Vence hoje",IF(G48&lt;=30,"Em até 30 dias","Em prazo"))))))))</x:f>
      </x:c>
      <x:c r="I48" s="17" t="str">
        <x:f>IF(COUNTA(A48:F48)=0,"",IF(A48="","Informe ID",IF(COUNTIFS($A$7:$A$56,A48)&gt;1,"Duplicado",IF(OR(B48="",C48="",NOT(ISNUMBER(D48)),NOT(ISNUMBER(E48)),D48&lt;=0,E48&lt;D48,AND(F48&lt;&gt;"Ativo",F48&lt;&gt;"Encerrado")),"Incompleto","OK"))))</x:f>
      </x:c>
    </x:row>
    <x:row r="49" ht="40" customHeight="1">
      <x:c r="A49" s="23"/>
      <x:c r="B49" s="24"/>
      <x:c r="C49" s="24"/>
      <x:c r="D49" s="13"/>
      <x:c r="E49" s="13"/>
      <x:c r="F49" s="23"/>
      <x:c r="G49" s="17" t="str">
        <x:f>IF('Auxiliar'!B8&lt;&gt;"OK","",IF(A49="","",IF(I49&lt;&gt;"OK","",E49-'Auxiliar'!$B$5)))</x:f>
      </x:c>
      <x:c r="H49" s="17" t="str">
        <x:f>IF(A49="","",IF('Auxiliar'!B8&lt;&gt;"OK","Conferir Auxiliar",IF(A49="","",IF(I49&lt;&gt;"OK","Conferir cadastro",IF(F49="Encerrado","Encerrado",IF(G49&lt;0,"Vencido",IF(G49=0,"Vence hoje",IF(G49&lt;=30,"Em até 30 dias","Em prazo"))))))))</x:f>
      </x:c>
      <x:c r="I49" s="17" t="str">
        <x:f>IF(COUNTA(A49:F49)=0,"",IF(A49="","Informe ID",IF(COUNTIFS($A$7:$A$56,A49)&gt;1,"Duplicado",IF(OR(B49="",C49="",NOT(ISNUMBER(D49)),NOT(ISNUMBER(E49)),D49&lt;=0,E49&lt;D49,AND(F49&lt;&gt;"Ativo",F49&lt;&gt;"Encerrado")),"Incompleto","OK"))))</x:f>
      </x:c>
    </x:row>
    <x:row r="50" ht="40" customHeight="1">
      <x:c r="A50" s="23"/>
      <x:c r="B50" s="24"/>
      <x:c r="C50" s="24"/>
      <x:c r="D50" s="13"/>
      <x:c r="E50" s="13"/>
      <x:c r="F50" s="23"/>
      <x:c r="G50" s="17" t="str">
        <x:f>IF('Auxiliar'!B8&lt;&gt;"OK","",IF(A50="","",IF(I50&lt;&gt;"OK","",E50-'Auxiliar'!$B$5)))</x:f>
      </x:c>
      <x:c r="H50" s="17" t="str">
        <x:f>IF(A50="","",IF('Auxiliar'!B8&lt;&gt;"OK","Conferir Auxiliar",IF(A50="","",IF(I50&lt;&gt;"OK","Conferir cadastro",IF(F50="Encerrado","Encerrado",IF(G50&lt;0,"Vencido",IF(G50=0,"Vence hoje",IF(G50&lt;=30,"Em até 30 dias","Em prazo"))))))))</x:f>
      </x:c>
      <x:c r="I50" s="17" t="str">
        <x:f>IF(COUNTA(A50:F50)=0,"",IF(A50="","Informe ID",IF(COUNTIFS($A$7:$A$56,A50)&gt;1,"Duplicado",IF(OR(B50="",C50="",NOT(ISNUMBER(D50)),NOT(ISNUMBER(E50)),D50&lt;=0,E50&lt;D50,AND(F50&lt;&gt;"Ativo",F50&lt;&gt;"Encerrado")),"Incompleto","OK"))))</x:f>
      </x:c>
    </x:row>
    <x:row r="51" ht="40" customHeight="1">
      <x:c r="A51" s="23"/>
      <x:c r="B51" s="24"/>
      <x:c r="C51" s="24"/>
      <x:c r="D51" s="13"/>
      <x:c r="E51" s="13"/>
      <x:c r="F51" s="23"/>
      <x:c r="G51" s="17" t="str">
        <x:f>IF('Auxiliar'!B8&lt;&gt;"OK","",IF(A51="","",IF(I51&lt;&gt;"OK","",E51-'Auxiliar'!$B$5)))</x:f>
      </x:c>
      <x:c r="H51" s="17" t="str">
        <x:f>IF(A51="","",IF('Auxiliar'!B8&lt;&gt;"OK","Conferir Auxiliar",IF(A51="","",IF(I51&lt;&gt;"OK","Conferir cadastro",IF(F51="Encerrado","Encerrado",IF(G51&lt;0,"Vencido",IF(G51=0,"Vence hoje",IF(G51&lt;=30,"Em até 30 dias","Em prazo"))))))))</x:f>
      </x:c>
      <x:c r="I51" s="17" t="str">
        <x:f>IF(COUNTA(A51:F51)=0,"",IF(A51="","Informe ID",IF(COUNTIFS($A$7:$A$56,A51)&gt;1,"Duplicado",IF(OR(B51="",C51="",NOT(ISNUMBER(D51)),NOT(ISNUMBER(E51)),D51&lt;=0,E51&lt;D51,AND(F51&lt;&gt;"Ativo",F51&lt;&gt;"Encerrado")),"Incompleto","OK"))))</x:f>
      </x:c>
    </x:row>
    <x:row r="52" ht="40" customHeight="1">
      <x:c r="A52" s="23"/>
      <x:c r="B52" s="24"/>
      <x:c r="C52" s="24"/>
      <x:c r="D52" s="13"/>
      <x:c r="E52" s="13"/>
      <x:c r="F52" s="23"/>
      <x:c r="G52" s="17" t="str">
        <x:f>IF('Auxiliar'!B8&lt;&gt;"OK","",IF(A52="","",IF(I52&lt;&gt;"OK","",E52-'Auxiliar'!$B$5)))</x:f>
      </x:c>
      <x:c r="H52" s="17" t="str">
        <x:f>IF(A52="","",IF('Auxiliar'!B8&lt;&gt;"OK","Conferir Auxiliar",IF(A52="","",IF(I52&lt;&gt;"OK","Conferir cadastro",IF(F52="Encerrado","Encerrado",IF(G52&lt;0,"Vencido",IF(G52=0,"Vence hoje",IF(G52&lt;=30,"Em até 30 dias","Em prazo"))))))))</x:f>
      </x:c>
      <x:c r="I52" s="17" t="str">
        <x:f>IF(COUNTA(A52:F52)=0,"",IF(A52="","Informe ID",IF(COUNTIFS($A$7:$A$56,A52)&gt;1,"Duplicado",IF(OR(B52="",C52="",NOT(ISNUMBER(D52)),NOT(ISNUMBER(E52)),D52&lt;=0,E52&lt;D52,AND(F52&lt;&gt;"Ativo",F52&lt;&gt;"Encerrado")),"Incompleto","OK"))))</x:f>
      </x:c>
    </x:row>
    <x:row r="53" ht="40" customHeight="1">
      <x:c r="A53" s="23"/>
      <x:c r="B53" s="24"/>
      <x:c r="C53" s="24"/>
      <x:c r="D53" s="13"/>
      <x:c r="E53" s="13"/>
      <x:c r="F53" s="23"/>
      <x:c r="G53" s="17" t="str">
        <x:f>IF('Auxiliar'!B8&lt;&gt;"OK","",IF(A53="","",IF(I53&lt;&gt;"OK","",E53-'Auxiliar'!$B$5)))</x:f>
      </x:c>
      <x:c r="H53" s="17" t="str">
        <x:f>IF(A53="","",IF('Auxiliar'!B8&lt;&gt;"OK","Conferir Auxiliar",IF(A53="","",IF(I53&lt;&gt;"OK","Conferir cadastro",IF(F53="Encerrado","Encerrado",IF(G53&lt;0,"Vencido",IF(G53=0,"Vence hoje",IF(G53&lt;=30,"Em até 30 dias","Em prazo"))))))))</x:f>
      </x:c>
      <x:c r="I53" s="17" t="str">
        <x:f>IF(COUNTA(A53:F53)=0,"",IF(A53="","Informe ID",IF(COUNTIFS($A$7:$A$56,A53)&gt;1,"Duplicado",IF(OR(B53="",C53="",NOT(ISNUMBER(D53)),NOT(ISNUMBER(E53)),D53&lt;=0,E53&lt;D53,AND(F53&lt;&gt;"Ativo",F53&lt;&gt;"Encerrado")),"Incompleto","OK"))))</x:f>
      </x:c>
    </x:row>
    <x:row r="54" ht="40" customHeight="1">
      <x:c r="A54" s="23"/>
      <x:c r="B54" s="24"/>
      <x:c r="C54" s="24"/>
      <x:c r="D54" s="13"/>
      <x:c r="E54" s="13"/>
      <x:c r="F54" s="23"/>
      <x:c r="G54" s="17" t="str">
        <x:f>IF('Auxiliar'!B8&lt;&gt;"OK","",IF(A54="","",IF(I54&lt;&gt;"OK","",E54-'Auxiliar'!$B$5)))</x:f>
      </x:c>
      <x:c r="H54" s="17" t="str">
        <x:f>IF(A54="","",IF('Auxiliar'!B8&lt;&gt;"OK","Conferir Auxiliar",IF(A54="","",IF(I54&lt;&gt;"OK","Conferir cadastro",IF(F54="Encerrado","Encerrado",IF(G54&lt;0,"Vencido",IF(G54=0,"Vence hoje",IF(G54&lt;=30,"Em até 30 dias","Em prazo"))))))))</x:f>
      </x:c>
      <x:c r="I54" s="17" t="str">
        <x:f>IF(COUNTA(A54:F54)=0,"",IF(A54="","Informe ID",IF(COUNTIFS($A$7:$A$56,A54)&gt;1,"Duplicado",IF(OR(B54="",C54="",NOT(ISNUMBER(D54)),NOT(ISNUMBER(E54)),D54&lt;=0,E54&lt;D54,AND(F54&lt;&gt;"Ativo",F54&lt;&gt;"Encerrado")),"Incompleto","OK"))))</x:f>
      </x:c>
    </x:row>
    <x:row r="55" ht="40" customHeight="1">
      <x:c r="A55" s="23"/>
      <x:c r="B55" s="24"/>
      <x:c r="C55" s="24"/>
      <x:c r="D55" s="13"/>
      <x:c r="E55" s="13"/>
      <x:c r="F55" s="23"/>
      <x:c r="G55" s="17" t="str">
        <x:f>IF('Auxiliar'!B8&lt;&gt;"OK","",IF(A55="","",IF(I55&lt;&gt;"OK","",E55-'Auxiliar'!$B$5)))</x:f>
      </x:c>
      <x:c r="H55" s="17" t="str">
        <x:f>IF(A55="","",IF('Auxiliar'!B8&lt;&gt;"OK","Conferir Auxiliar",IF(A55="","",IF(I55&lt;&gt;"OK","Conferir cadastro",IF(F55="Encerrado","Encerrado",IF(G55&lt;0,"Vencido",IF(G55=0,"Vence hoje",IF(G55&lt;=30,"Em até 30 dias","Em prazo"))))))))</x:f>
      </x:c>
      <x:c r="I55" s="17" t="str">
        <x:f>IF(COUNTA(A55:F55)=0,"",IF(A55="","Informe ID",IF(COUNTIFS($A$7:$A$56,A55)&gt;1,"Duplicado",IF(OR(B55="",C55="",NOT(ISNUMBER(D55)),NOT(ISNUMBER(E55)),D55&lt;=0,E55&lt;D55,AND(F55&lt;&gt;"Ativo",F55&lt;&gt;"Encerrado")),"Incompleto","OK"))))</x:f>
      </x:c>
    </x:row>
    <x:row r="56" ht="40" customHeight="1">
      <x:c r="A56" s="23"/>
      <x:c r="B56" s="24"/>
      <x:c r="C56" s="24"/>
      <x:c r="D56" s="13"/>
      <x:c r="E56" s="13"/>
      <x:c r="F56" s="23"/>
      <x:c r="G56" s="17" t="str">
        <x:f>IF('Auxiliar'!B8&lt;&gt;"OK","",IF(A56="","",IF(I56&lt;&gt;"OK","",E56-'Auxiliar'!$B$5)))</x:f>
      </x:c>
      <x:c r="H56" s="17" t="str">
        <x:f>IF(A56="","",IF('Auxiliar'!B8&lt;&gt;"OK","Conferir Auxiliar",IF(A56="","",IF(I56&lt;&gt;"OK","Conferir cadastro",IF(F56="Encerrado","Encerrado",IF(G56&lt;0,"Vencido",IF(G56=0,"Vence hoje",IF(G56&lt;=30,"Em até 30 dias","Em prazo"))))))))</x:f>
      </x:c>
      <x:c r="I56" s="17" t="str">
        <x:f>IF(COUNTA(A56:F56)=0,"",IF(A56="","Informe ID",IF(COUNTIFS($A$7:$A$56,A56)&gt;1,"Duplicado",IF(OR(B56="",C56="",NOT(ISNUMBER(D56)),NOT(ISNUMBER(E56)),D56&lt;=0,E56&lt;D56,AND(F56&lt;&gt;"Ativo",F56&lt;&gt;"Encerrado")),"Incompleto","OK"))))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</x:row>
  </x:sheetData>
  <x:conditionalFormatting sqref="G7:I56">
    <x:cfRule type="containsText" dxfId="10" priority="1" operator="containsText" text="Vencido"/>
    <x:cfRule type="containsText" dxfId="11" priority="2" operator="containsText" text="Vence hoje"/>
    <x:cfRule type="containsText" dxfId="12" priority="3" operator="containsText" text="Revisar"/>
    <x:cfRule type="containsText" dxfId="13" priority="4" operator="containsText" text="Incompleto"/>
    <x:cfRule type="containsText" dxfId="14" priority="5" operator="containsText" text="Duplicado"/>
    <x:cfRule type="containsText" dxfId="15" priority="6" operator="containsText" text="Sem cadastro"/>
    <x:cfRule type="containsText" dxfId="16" priority="7" operator="containsText" text="Conferir"/>
    <x:cfRule type="containsText" dxfId="17" priority="8" operator="containsText" text="Aluguel indevido"/>
    <x:cfRule type="containsText" dxfId="18" priority="9" operator="containsText" text="Risco"/>
    <x:cfRule type="containsText" dxfId="19" priority="10" operator="containsText" text="Em até 30 dias"/>
  </x:conditionalFormatting>
  <x:conditionalFormatting sqref="I7:I56">
    <x:cfRule type="containsText" dxfId="60" priority="11" operator="containsText" text="Informe"/>
  </x:conditionalFormatting>
  <x:dataValidations count="1">
    <x:dataValidation type="list" sqref="F7:F56">
      <x:formula1>"Ativo,Encerrado"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92f9d49af2402d"/>
  </x:tableParts>
</x:worksheet>
</file>

<file path=xl/worksheets/sheet3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2" hidden="0" customWidth="1"/>
    <x:col min="4" max="4" width="17" hidden="0" customWidth="1"/>
    <x:col min="5" max="5" width="19" hidden="0" customWidth="1"/>
    <x:col min="6" max="6" width="16" hidden="0" customWidth="1"/>
    <x:col min="7" max="7" width="18" hidden="0" customWidth="1"/>
    <x:col min="8" max="8" width="17" hidden="0" customWidth="1"/>
    <x:col min="9" max="9" width="22" hidden="0" customWidth="1"/>
    <x:col min="10" max="10" width="25" hidden="0" customWidth="1"/>
    <x:col min="11" max="11" width="24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5" customHeight="1">
      <x:c r="A2" s="5" t="str">
        <x:v>Pagamentos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8" customHeight="1">
      <x:c r="A3" s="4" t="str">
        <x:v>Preencha A:I. A quitação usa a data de pagamento, não a etapa informada.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46" customHeight="1">
      <x:c r="A6" s="22" t="str">
        <x:v>ID pagamento</x:v>
      </x:c>
      <x:c r="B6" s="22" t="str">
        <x:v>Contrato</x:v>
      </x:c>
      <x:c r="C6" s="22" t="str">
        <x:v>Descrição</x:v>
      </x:c>
      <x:c r="D6" s="22" t="str">
        <x:v>Competência</x:v>
      </x:c>
      <x:c r="E6" s="22" t="str">
        <x:v>Valor (R$)</x:v>
      </x:c>
      <x:c r="F6" s="22" t="str">
        <x:v>Vencimento</x:v>
      </x:c>
      <x:c r="G6" s="22" t="str">
        <x:v>Data de pagamento</x:v>
      </x:c>
      <x:c r="H6" s="22" t="str">
        <x:v>Documentos</x:v>
      </x:c>
      <x:c r="I6" s="22" t="str">
        <x:v>Etapa informada</x:v>
      </x:c>
      <x:c r="J6" s="22" t="str">
        <x:v>Situação na referência</x:v>
      </x:c>
      <x:c r="K6" s="22" t="str">
        <x:v>Cadastro</x:v>
      </x:c>
    </x:row>
    <x:row r="7" ht="40" customHeight="1">
      <x:c r="A7" s="23"/>
      <x:c r="B7" s="23"/>
      <x:c r="C7" s="24"/>
      <x:c r="D7" s="25"/>
      <x:c r="E7" s="27"/>
      <x:c r="F7" s="13"/>
      <x:c r="G7" s="13"/>
      <x:c r="H7" s="23"/>
      <x:c r="I7" s="23"/>
      <x:c r="J7" s="17" t="str">
        <x:f>IF(A7="","",IF('Auxiliar'!B8&lt;&gt;"OK","Conferir Auxiliar",IF(A7="","",IF(K7&lt;&gt;"OK","Conferir cadastro",IF(G7&lt;&gt;"",IF(AND(ISNUMBER(G7),G7&gt;0,G7&lt;='Auxiliar'!$B$5),"Pago","Conferir data"),IF(F7&lt;'Auxiliar'!$B$5,"Vencido",IF(F7='Auxiliar'!$B$5,"Vence hoje","A vencer")))))))</x:f>
      </x:c>
      <x:c r="K7" s="17" t="str">
        <x:f>IF(COUNTA(A7:I7)=0,"",IF(A7="","Informe ID",IF(COUNTIFS($A$7:$A$56,A7)&gt;1,"Duplicado",IF(COUNTIFS('Contratos'!$A$7:$A$56,B7)&lt;&gt;1,"Sem cadastro único",IF(OR(C7="",NOT(ISNUMBER(D7)),D7&lt;=0,NOT(ISNUMBER(E7)),E7&lt;0,NOT(ISNUMBER(F7)),F7&lt;=0,AND(H7&lt;&gt;"Completa",H7&lt;&gt;"Pendente")),"Incompleto",IF(AND(G7&lt;&gt;"",OR(NOT(ISNUMBER(G7)),G7&lt;=0,G7&gt;'Auxiliar'!$B$5)),"Conferir data","OK"))))))</x:f>
      </x:c>
    </x:row>
    <x:row r="8" ht="40" customHeight="1">
      <x:c r="A8" s="23"/>
      <x:c r="B8" s="23"/>
      <x:c r="C8" s="24"/>
      <x:c r="D8" s="25"/>
      <x:c r="E8" s="27"/>
      <x:c r="F8" s="13"/>
      <x:c r="G8" s="13"/>
      <x:c r="H8" s="23"/>
      <x:c r="I8" s="23"/>
      <x:c r="J8" s="17" t="str">
        <x:f>IF(A8="","",IF('Auxiliar'!B8&lt;&gt;"OK","Conferir Auxiliar",IF(A8="","",IF(K8&lt;&gt;"OK","Conferir cadastro",IF(G8&lt;&gt;"",IF(AND(ISNUMBER(G8),G8&gt;0,G8&lt;='Auxiliar'!$B$5),"Pago","Conferir data"),IF(F8&lt;'Auxiliar'!$B$5,"Vencido",IF(F8='Auxiliar'!$B$5,"Vence hoje","A vencer")))))))</x:f>
      </x:c>
      <x:c r="K8" s="17" t="str">
        <x:f>IF(COUNTA(A8:I8)=0,"",IF(A8="","Informe ID",IF(COUNTIFS($A$7:$A$56,A8)&gt;1,"Duplicado",IF(COUNTIFS('Contratos'!$A$7:$A$56,B8)&lt;&gt;1,"Sem cadastro único",IF(OR(C8="",NOT(ISNUMBER(D8)),D8&lt;=0,NOT(ISNUMBER(E8)),E8&lt;0,NOT(ISNUMBER(F8)),F8&lt;=0,AND(H8&lt;&gt;"Completa",H8&lt;&gt;"Pendente")),"Incompleto",IF(AND(G8&lt;&gt;"",OR(NOT(ISNUMBER(G8)),G8&lt;=0,G8&gt;'Auxiliar'!$B$5)),"Conferir data","OK"))))))</x:f>
      </x:c>
    </x:row>
    <x:row r="9" ht="40" customHeight="1">
      <x:c r="A9" s="23"/>
      <x:c r="B9" s="23"/>
      <x:c r="C9" s="24"/>
      <x:c r="D9" s="25"/>
      <x:c r="E9" s="27"/>
      <x:c r="F9" s="13"/>
      <x:c r="G9" s="13"/>
      <x:c r="H9" s="23"/>
      <x:c r="I9" s="23"/>
      <x:c r="J9" s="17" t="str">
        <x:f>IF(A9="","",IF('Auxiliar'!B8&lt;&gt;"OK","Conferir Auxiliar",IF(A9="","",IF(K9&lt;&gt;"OK","Conferir cadastro",IF(G9&lt;&gt;"",IF(AND(ISNUMBER(G9),G9&gt;0,G9&lt;='Auxiliar'!$B$5),"Pago","Conferir data"),IF(F9&lt;'Auxiliar'!$B$5,"Vencido",IF(F9='Auxiliar'!$B$5,"Vence hoje","A vencer")))))))</x:f>
      </x:c>
      <x:c r="K9" s="17" t="str">
        <x:f>IF(COUNTA(A9:I9)=0,"",IF(A9="","Informe ID",IF(COUNTIFS($A$7:$A$56,A9)&gt;1,"Duplicado",IF(COUNTIFS('Contratos'!$A$7:$A$56,B9)&lt;&gt;1,"Sem cadastro único",IF(OR(C9="",NOT(ISNUMBER(D9)),D9&lt;=0,NOT(ISNUMBER(E9)),E9&lt;0,NOT(ISNUMBER(F9)),F9&lt;=0,AND(H9&lt;&gt;"Completa",H9&lt;&gt;"Pendente")),"Incompleto",IF(AND(G9&lt;&gt;"",OR(NOT(ISNUMBER(G9)),G9&lt;=0,G9&gt;'Auxiliar'!$B$5)),"Conferir data","OK"))))))</x:f>
      </x:c>
    </x:row>
    <x:row r="10" ht="40" customHeight="1">
      <x:c r="A10" s="23"/>
      <x:c r="B10" s="23"/>
      <x:c r="C10" s="24"/>
      <x:c r="D10" s="25"/>
      <x:c r="E10" s="27"/>
      <x:c r="F10" s="13"/>
      <x:c r="G10" s="13"/>
      <x:c r="H10" s="23"/>
      <x:c r="I10" s="23"/>
      <x:c r="J10" s="17" t="str">
        <x:f>IF(A10="","",IF('Auxiliar'!B8&lt;&gt;"OK","Conferir Auxiliar",IF(A10="","",IF(K10&lt;&gt;"OK","Conferir cadastro",IF(G10&lt;&gt;"",IF(AND(ISNUMBER(G10),G10&gt;0,G10&lt;='Auxiliar'!$B$5),"Pago","Conferir data"),IF(F10&lt;'Auxiliar'!$B$5,"Vencido",IF(F10='Auxiliar'!$B$5,"Vence hoje","A vencer")))))))</x:f>
      </x:c>
      <x:c r="K10" s="17" t="str">
        <x:f>IF(COUNTA(A10:I10)=0,"",IF(A10="","Informe ID",IF(COUNTIFS($A$7:$A$56,A10)&gt;1,"Duplicado",IF(COUNTIFS('Contratos'!$A$7:$A$56,B10)&lt;&gt;1,"Sem cadastro único",IF(OR(C10="",NOT(ISNUMBER(D10)),D10&lt;=0,NOT(ISNUMBER(E10)),E10&lt;0,NOT(ISNUMBER(F10)),F10&lt;=0,AND(H10&lt;&gt;"Completa",H10&lt;&gt;"Pendente")),"Incompleto",IF(AND(G10&lt;&gt;"",OR(NOT(ISNUMBER(G10)),G10&lt;=0,G10&gt;'Auxiliar'!$B$5)),"Conferir data","OK"))))))</x:f>
      </x:c>
    </x:row>
    <x:row r="11" ht="40" customHeight="1">
      <x:c r="A11" s="23"/>
      <x:c r="B11" s="23"/>
      <x:c r="C11" s="24"/>
      <x:c r="D11" s="25"/>
      <x:c r="E11" s="27"/>
      <x:c r="F11" s="13"/>
      <x:c r="G11" s="13"/>
      <x:c r="H11" s="23"/>
      <x:c r="I11" s="23"/>
      <x:c r="J11" s="17" t="str">
        <x:f>IF(A11="","",IF('Auxiliar'!B8&lt;&gt;"OK","Conferir Auxiliar",IF(A11="","",IF(K11&lt;&gt;"OK","Conferir cadastro",IF(G11&lt;&gt;"",IF(AND(ISNUMBER(G11),G11&gt;0,G11&lt;='Auxiliar'!$B$5),"Pago","Conferir data"),IF(F11&lt;'Auxiliar'!$B$5,"Vencido",IF(F11='Auxiliar'!$B$5,"Vence hoje","A vencer")))))))</x:f>
      </x:c>
      <x:c r="K11" s="17" t="str">
        <x:f>IF(COUNTA(A11:I11)=0,"",IF(A11="","Informe ID",IF(COUNTIFS($A$7:$A$56,A11)&gt;1,"Duplicado",IF(COUNTIFS('Contratos'!$A$7:$A$56,B11)&lt;&gt;1,"Sem cadastro único",IF(OR(C11="",NOT(ISNUMBER(D11)),D11&lt;=0,NOT(ISNUMBER(E11)),E11&lt;0,NOT(ISNUMBER(F11)),F11&lt;=0,AND(H11&lt;&gt;"Completa",H11&lt;&gt;"Pendente")),"Incompleto",IF(AND(G11&lt;&gt;"",OR(NOT(ISNUMBER(G11)),G11&lt;=0,G11&gt;'Auxiliar'!$B$5)),"Conferir data","OK"))))))</x:f>
      </x:c>
    </x:row>
    <x:row r="12" ht="40" customHeight="1">
      <x:c r="A12" s="23"/>
      <x:c r="B12" s="23"/>
      <x:c r="C12" s="24"/>
      <x:c r="D12" s="25"/>
      <x:c r="E12" s="27"/>
      <x:c r="F12" s="13"/>
      <x:c r="G12" s="13"/>
      <x:c r="H12" s="23"/>
      <x:c r="I12" s="23"/>
      <x:c r="J12" s="17" t="str">
        <x:f>IF(A12="","",IF('Auxiliar'!B8&lt;&gt;"OK","Conferir Auxiliar",IF(A12="","",IF(K12&lt;&gt;"OK","Conferir cadastro",IF(G12&lt;&gt;"",IF(AND(ISNUMBER(G12),G12&gt;0,G12&lt;='Auxiliar'!$B$5),"Pago","Conferir data"),IF(F12&lt;'Auxiliar'!$B$5,"Vencido",IF(F12='Auxiliar'!$B$5,"Vence hoje","A vencer")))))))</x:f>
      </x:c>
      <x:c r="K12" s="17" t="str">
        <x:f>IF(COUNTA(A12:I12)=0,"",IF(A12="","Informe ID",IF(COUNTIFS($A$7:$A$56,A12)&gt;1,"Duplicado",IF(COUNTIFS('Contratos'!$A$7:$A$56,B12)&lt;&gt;1,"Sem cadastro único",IF(OR(C12="",NOT(ISNUMBER(D12)),D12&lt;=0,NOT(ISNUMBER(E12)),E12&lt;0,NOT(ISNUMBER(F12)),F12&lt;=0,AND(H12&lt;&gt;"Completa",H12&lt;&gt;"Pendente")),"Incompleto",IF(AND(G12&lt;&gt;"",OR(NOT(ISNUMBER(G12)),G12&lt;=0,G12&gt;'Auxiliar'!$B$5)),"Conferir data","OK"))))))</x:f>
      </x:c>
    </x:row>
    <x:row r="13" ht="40" customHeight="1">
      <x:c r="A13" s="23"/>
      <x:c r="B13" s="23"/>
      <x:c r="C13" s="24"/>
      <x:c r="D13" s="25"/>
      <x:c r="E13" s="27"/>
      <x:c r="F13" s="13"/>
      <x:c r="G13" s="13"/>
      <x:c r="H13" s="23"/>
      <x:c r="I13" s="23"/>
      <x:c r="J13" s="17" t="str">
        <x:f>IF(A13="","",IF('Auxiliar'!B8&lt;&gt;"OK","Conferir Auxiliar",IF(A13="","",IF(K13&lt;&gt;"OK","Conferir cadastro",IF(G13&lt;&gt;"",IF(AND(ISNUMBER(G13),G13&gt;0,G13&lt;='Auxiliar'!$B$5),"Pago","Conferir data"),IF(F13&lt;'Auxiliar'!$B$5,"Vencido",IF(F13='Auxiliar'!$B$5,"Vence hoje","A vencer")))))))</x:f>
      </x:c>
      <x:c r="K13" s="17" t="str">
        <x:f>IF(COUNTA(A13:I13)=0,"",IF(A13="","Informe ID",IF(COUNTIFS($A$7:$A$56,A13)&gt;1,"Duplicado",IF(COUNTIFS('Contratos'!$A$7:$A$56,B13)&lt;&gt;1,"Sem cadastro único",IF(OR(C13="",NOT(ISNUMBER(D13)),D13&lt;=0,NOT(ISNUMBER(E13)),E13&lt;0,NOT(ISNUMBER(F13)),F13&lt;=0,AND(H13&lt;&gt;"Completa",H13&lt;&gt;"Pendente")),"Incompleto",IF(AND(G13&lt;&gt;"",OR(NOT(ISNUMBER(G13)),G13&lt;=0,G13&gt;'Auxiliar'!$B$5)),"Conferir data","OK"))))))</x:f>
      </x:c>
    </x:row>
    <x:row r="14" ht="40" customHeight="1">
      <x:c r="A14" s="23"/>
      <x:c r="B14" s="23"/>
      <x:c r="C14" s="24"/>
      <x:c r="D14" s="25"/>
      <x:c r="E14" s="27"/>
      <x:c r="F14" s="13"/>
      <x:c r="G14" s="13"/>
      <x:c r="H14" s="23"/>
      <x:c r="I14" s="23"/>
      <x:c r="J14" s="17" t="str">
        <x:f>IF(A14="","",IF('Auxiliar'!B8&lt;&gt;"OK","Conferir Auxiliar",IF(A14="","",IF(K14&lt;&gt;"OK","Conferir cadastro",IF(G14&lt;&gt;"",IF(AND(ISNUMBER(G14),G14&gt;0,G14&lt;='Auxiliar'!$B$5),"Pago","Conferir data"),IF(F14&lt;'Auxiliar'!$B$5,"Vencido",IF(F14='Auxiliar'!$B$5,"Vence hoje","A vencer")))))))</x:f>
      </x:c>
      <x:c r="K14" s="17" t="str">
        <x:f>IF(COUNTA(A14:I14)=0,"",IF(A14="","Informe ID",IF(COUNTIFS($A$7:$A$56,A14)&gt;1,"Duplicado",IF(COUNTIFS('Contratos'!$A$7:$A$56,B14)&lt;&gt;1,"Sem cadastro único",IF(OR(C14="",NOT(ISNUMBER(D14)),D14&lt;=0,NOT(ISNUMBER(E14)),E14&lt;0,NOT(ISNUMBER(F14)),F14&lt;=0,AND(H14&lt;&gt;"Completa",H14&lt;&gt;"Pendente")),"Incompleto",IF(AND(G14&lt;&gt;"",OR(NOT(ISNUMBER(G14)),G14&lt;=0,G14&gt;'Auxiliar'!$B$5)),"Conferir data","OK"))))))</x:f>
      </x:c>
    </x:row>
    <x:row r="15" ht="40" customHeight="1">
      <x:c r="A15" s="23"/>
      <x:c r="B15" s="23"/>
      <x:c r="C15" s="24"/>
      <x:c r="D15" s="25"/>
      <x:c r="E15" s="27"/>
      <x:c r="F15" s="13"/>
      <x:c r="G15" s="13"/>
      <x:c r="H15" s="23"/>
      <x:c r="I15" s="23"/>
      <x:c r="J15" s="17" t="str">
        <x:f>IF(A15="","",IF('Auxiliar'!B8&lt;&gt;"OK","Conferir Auxiliar",IF(A15="","",IF(K15&lt;&gt;"OK","Conferir cadastro",IF(G15&lt;&gt;"",IF(AND(ISNUMBER(G15),G15&gt;0,G15&lt;='Auxiliar'!$B$5),"Pago","Conferir data"),IF(F15&lt;'Auxiliar'!$B$5,"Vencido",IF(F15='Auxiliar'!$B$5,"Vence hoje","A vencer")))))))</x:f>
      </x:c>
      <x:c r="K15" s="17" t="str">
        <x:f>IF(COUNTA(A15:I15)=0,"",IF(A15="","Informe ID",IF(COUNTIFS($A$7:$A$56,A15)&gt;1,"Duplicado",IF(COUNTIFS('Contratos'!$A$7:$A$56,B15)&lt;&gt;1,"Sem cadastro único",IF(OR(C15="",NOT(ISNUMBER(D15)),D15&lt;=0,NOT(ISNUMBER(E15)),E15&lt;0,NOT(ISNUMBER(F15)),F15&lt;=0,AND(H15&lt;&gt;"Completa",H15&lt;&gt;"Pendente")),"Incompleto",IF(AND(G15&lt;&gt;"",OR(NOT(ISNUMBER(G15)),G15&lt;=0,G15&gt;'Auxiliar'!$B$5)),"Conferir data","OK"))))))</x:f>
      </x:c>
    </x:row>
    <x:row r="16" ht="40" customHeight="1">
      <x:c r="A16" s="23"/>
      <x:c r="B16" s="23"/>
      <x:c r="C16" s="24"/>
      <x:c r="D16" s="25"/>
      <x:c r="E16" s="27"/>
      <x:c r="F16" s="13"/>
      <x:c r="G16" s="13"/>
      <x:c r="H16" s="23"/>
      <x:c r="I16" s="23"/>
      <x:c r="J16" s="17" t="str">
        <x:f>IF(A16="","",IF('Auxiliar'!B8&lt;&gt;"OK","Conferir Auxiliar",IF(A16="","",IF(K16&lt;&gt;"OK","Conferir cadastro",IF(G16&lt;&gt;"",IF(AND(ISNUMBER(G16),G16&gt;0,G16&lt;='Auxiliar'!$B$5),"Pago","Conferir data"),IF(F16&lt;'Auxiliar'!$B$5,"Vencido",IF(F16='Auxiliar'!$B$5,"Vence hoje","A vencer")))))))</x:f>
      </x:c>
      <x:c r="K16" s="17" t="str">
        <x:f>IF(COUNTA(A16:I16)=0,"",IF(A16="","Informe ID",IF(COUNTIFS($A$7:$A$56,A16)&gt;1,"Duplicado",IF(COUNTIFS('Contratos'!$A$7:$A$56,B16)&lt;&gt;1,"Sem cadastro único",IF(OR(C16="",NOT(ISNUMBER(D16)),D16&lt;=0,NOT(ISNUMBER(E16)),E16&lt;0,NOT(ISNUMBER(F16)),F16&lt;=0,AND(H16&lt;&gt;"Completa",H16&lt;&gt;"Pendente")),"Incompleto",IF(AND(G16&lt;&gt;"",OR(NOT(ISNUMBER(G16)),G16&lt;=0,G16&gt;'Auxiliar'!$B$5)),"Conferir data","OK"))))))</x:f>
      </x:c>
    </x:row>
    <x:row r="17" ht="40" customHeight="1">
      <x:c r="A17" s="23"/>
      <x:c r="B17" s="23"/>
      <x:c r="C17" s="24"/>
      <x:c r="D17" s="25"/>
      <x:c r="E17" s="27"/>
      <x:c r="F17" s="13"/>
      <x:c r="G17" s="13"/>
      <x:c r="H17" s="23"/>
      <x:c r="I17" s="23"/>
      <x:c r="J17" s="17" t="str">
        <x:f>IF(A17="","",IF('Auxiliar'!B8&lt;&gt;"OK","Conferir Auxiliar",IF(A17="","",IF(K17&lt;&gt;"OK","Conferir cadastro",IF(G17&lt;&gt;"",IF(AND(ISNUMBER(G17),G17&gt;0,G17&lt;='Auxiliar'!$B$5),"Pago","Conferir data"),IF(F17&lt;'Auxiliar'!$B$5,"Vencido",IF(F17='Auxiliar'!$B$5,"Vence hoje","A vencer")))))))</x:f>
      </x:c>
      <x:c r="K17" s="17" t="str">
        <x:f>IF(COUNTA(A17:I17)=0,"",IF(A17="","Informe ID",IF(COUNTIFS($A$7:$A$56,A17)&gt;1,"Duplicado",IF(COUNTIFS('Contratos'!$A$7:$A$56,B17)&lt;&gt;1,"Sem cadastro único",IF(OR(C17="",NOT(ISNUMBER(D17)),D17&lt;=0,NOT(ISNUMBER(E17)),E17&lt;0,NOT(ISNUMBER(F17)),F17&lt;=0,AND(H17&lt;&gt;"Completa",H17&lt;&gt;"Pendente")),"Incompleto",IF(AND(G17&lt;&gt;"",OR(NOT(ISNUMBER(G17)),G17&lt;=0,G17&gt;'Auxiliar'!$B$5)),"Conferir data","OK"))))))</x:f>
      </x:c>
    </x:row>
    <x:row r="18" ht="40" customHeight="1">
      <x:c r="A18" s="23"/>
      <x:c r="B18" s="23"/>
      <x:c r="C18" s="24"/>
      <x:c r="D18" s="25"/>
      <x:c r="E18" s="27"/>
      <x:c r="F18" s="13"/>
      <x:c r="G18" s="13"/>
      <x:c r="H18" s="23"/>
      <x:c r="I18" s="23"/>
      <x:c r="J18" s="17" t="str">
        <x:f>IF(A18="","",IF('Auxiliar'!B8&lt;&gt;"OK","Conferir Auxiliar",IF(A18="","",IF(K18&lt;&gt;"OK","Conferir cadastro",IF(G18&lt;&gt;"",IF(AND(ISNUMBER(G18),G18&gt;0,G18&lt;='Auxiliar'!$B$5),"Pago","Conferir data"),IF(F18&lt;'Auxiliar'!$B$5,"Vencido",IF(F18='Auxiliar'!$B$5,"Vence hoje","A vencer")))))))</x:f>
      </x:c>
      <x:c r="K18" s="17" t="str">
        <x:f>IF(COUNTA(A18:I18)=0,"",IF(A18="","Informe ID",IF(COUNTIFS($A$7:$A$56,A18)&gt;1,"Duplicado",IF(COUNTIFS('Contratos'!$A$7:$A$56,B18)&lt;&gt;1,"Sem cadastro único",IF(OR(C18="",NOT(ISNUMBER(D18)),D18&lt;=0,NOT(ISNUMBER(E18)),E18&lt;0,NOT(ISNUMBER(F18)),F18&lt;=0,AND(H18&lt;&gt;"Completa",H18&lt;&gt;"Pendente")),"Incompleto",IF(AND(G18&lt;&gt;"",OR(NOT(ISNUMBER(G18)),G18&lt;=0,G18&gt;'Auxiliar'!$B$5)),"Conferir data","OK"))))))</x:f>
      </x:c>
    </x:row>
    <x:row r="19" ht="40" customHeight="1">
      <x:c r="A19" s="23"/>
      <x:c r="B19" s="23"/>
      <x:c r="C19" s="24"/>
      <x:c r="D19" s="25"/>
      <x:c r="E19" s="27"/>
      <x:c r="F19" s="13"/>
      <x:c r="G19" s="13"/>
      <x:c r="H19" s="23"/>
      <x:c r="I19" s="23"/>
      <x:c r="J19" s="17" t="str">
        <x:f>IF(A19="","",IF('Auxiliar'!B8&lt;&gt;"OK","Conferir Auxiliar",IF(A19="","",IF(K19&lt;&gt;"OK","Conferir cadastro",IF(G19&lt;&gt;"",IF(AND(ISNUMBER(G19),G19&gt;0,G19&lt;='Auxiliar'!$B$5),"Pago","Conferir data"),IF(F19&lt;'Auxiliar'!$B$5,"Vencido",IF(F19='Auxiliar'!$B$5,"Vence hoje","A vencer")))))))</x:f>
      </x:c>
      <x:c r="K19" s="17" t="str">
        <x:f>IF(COUNTA(A19:I19)=0,"",IF(A19="","Informe ID",IF(COUNTIFS($A$7:$A$56,A19)&gt;1,"Duplicado",IF(COUNTIFS('Contratos'!$A$7:$A$56,B19)&lt;&gt;1,"Sem cadastro único",IF(OR(C19="",NOT(ISNUMBER(D19)),D19&lt;=0,NOT(ISNUMBER(E19)),E19&lt;0,NOT(ISNUMBER(F19)),F19&lt;=0,AND(H19&lt;&gt;"Completa",H19&lt;&gt;"Pendente")),"Incompleto",IF(AND(G19&lt;&gt;"",OR(NOT(ISNUMBER(G19)),G19&lt;=0,G19&gt;'Auxiliar'!$B$5)),"Conferir data","OK"))))))</x:f>
      </x:c>
    </x:row>
    <x:row r="20" ht="40" customHeight="1">
      <x:c r="A20" s="23"/>
      <x:c r="B20" s="23"/>
      <x:c r="C20" s="24"/>
      <x:c r="D20" s="25"/>
      <x:c r="E20" s="27"/>
      <x:c r="F20" s="13"/>
      <x:c r="G20" s="13"/>
      <x:c r="H20" s="23"/>
      <x:c r="I20" s="23"/>
      <x:c r="J20" s="17" t="str">
        <x:f>IF(A20="","",IF('Auxiliar'!B8&lt;&gt;"OK","Conferir Auxiliar",IF(A20="","",IF(K20&lt;&gt;"OK","Conferir cadastro",IF(G20&lt;&gt;"",IF(AND(ISNUMBER(G20),G20&gt;0,G20&lt;='Auxiliar'!$B$5),"Pago","Conferir data"),IF(F20&lt;'Auxiliar'!$B$5,"Vencido",IF(F20='Auxiliar'!$B$5,"Vence hoje","A vencer")))))))</x:f>
      </x:c>
      <x:c r="K20" s="17" t="str">
        <x:f>IF(COUNTA(A20:I20)=0,"",IF(A20="","Informe ID",IF(COUNTIFS($A$7:$A$56,A20)&gt;1,"Duplicado",IF(COUNTIFS('Contratos'!$A$7:$A$56,B20)&lt;&gt;1,"Sem cadastro único",IF(OR(C20="",NOT(ISNUMBER(D20)),D20&lt;=0,NOT(ISNUMBER(E20)),E20&lt;0,NOT(ISNUMBER(F20)),F20&lt;=0,AND(H20&lt;&gt;"Completa",H20&lt;&gt;"Pendente")),"Incompleto",IF(AND(G20&lt;&gt;"",OR(NOT(ISNUMBER(G20)),G20&lt;=0,G20&gt;'Auxiliar'!$B$5)),"Conferir data","OK"))))))</x:f>
      </x:c>
    </x:row>
    <x:row r="21" ht="40" customHeight="1">
      <x:c r="A21" s="23"/>
      <x:c r="B21" s="23"/>
      <x:c r="C21" s="24"/>
      <x:c r="D21" s="25"/>
      <x:c r="E21" s="27"/>
      <x:c r="F21" s="13"/>
      <x:c r="G21" s="13"/>
      <x:c r="H21" s="23"/>
      <x:c r="I21" s="23"/>
      <x:c r="J21" s="17" t="str">
        <x:f>IF(A21="","",IF('Auxiliar'!B8&lt;&gt;"OK","Conferir Auxiliar",IF(A21="","",IF(K21&lt;&gt;"OK","Conferir cadastro",IF(G21&lt;&gt;"",IF(AND(ISNUMBER(G21),G21&gt;0,G21&lt;='Auxiliar'!$B$5),"Pago","Conferir data"),IF(F21&lt;'Auxiliar'!$B$5,"Vencido",IF(F21='Auxiliar'!$B$5,"Vence hoje","A vencer")))))))</x:f>
      </x:c>
      <x:c r="K21" s="17" t="str">
        <x:f>IF(COUNTA(A21:I21)=0,"",IF(A21="","Informe ID",IF(COUNTIFS($A$7:$A$56,A21)&gt;1,"Duplicado",IF(COUNTIFS('Contratos'!$A$7:$A$56,B21)&lt;&gt;1,"Sem cadastro único",IF(OR(C21="",NOT(ISNUMBER(D21)),D21&lt;=0,NOT(ISNUMBER(E21)),E21&lt;0,NOT(ISNUMBER(F21)),F21&lt;=0,AND(H21&lt;&gt;"Completa",H21&lt;&gt;"Pendente")),"Incompleto",IF(AND(G21&lt;&gt;"",OR(NOT(ISNUMBER(G21)),G21&lt;=0,G21&gt;'Auxiliar'!$B$5)),"Conferir data","OK"))))))</x:f>
      </x:c>
    </x:row>
    <x:row r="22" ht="40" customHeight="1">
      <x:c r="A22" s="23"/>
      <x:c r="B22" s="23"/>
      <x:c r="C22" s="24"/>
      <x:c r="D22" s="25"/>
      <x:c r="E22" s="27"/>
      <x:c r="F22" s="13"/>
      <x:c r="G22" s="13"/>
      <x:c r="H22" s="23"/>
      <x:c r="I22" s="23"/>
      <x:c r="J22" s="17" t="str">
        <x:f>IF(A22="","",IF('Auxiliar'!B8&lt;&gt;"OK","Conferir Auxiliar",IF(A22="","",IF(K22&lt;&gt;"OK","Conferir cadastro",IF(G22&lt;&gt;"",IF(AND(ISNUMBER(G22),G22&gt;0,G22&lt;='Auxiliar'!$B$5),"Pago","Conferir data"),IF(F22&lt;'Auxiliar'!$B$5,"Vencido",IF(F22='Auxiliar'!$B$5,"Vence hoje","A vencer")))))))</x:f>
      </x:c>
      <x:c r="K22" s="17" t="str">
        <x:f>IF(COUNTA(A22:I22)=0,"",IF(A22="","Informe ID",IF(COUNTIFS($A$7:$A$56,A22)&gt;1,"Duplicado",IF(COUNTIFS('Contratos'!$A$7:$A$56,B22)&lt;&gt;1,"Sem cadastro único",IF(OR(C22="",NOT(ISNUMBER(D22)),D22&lt;=0,NOT(ISNUMBER(E22)),E22&lt;0,NOT(ISNUMBER(F22)),F22&lt;=0,AND(H22&lt;&gt;"Completa",H22&lt;&gt;"Pendente")),"Incompleto",IF(AND(G22&lt;&gt;"",OR(NOT(ISNUMBER(G22)),G22&lt;=0,G22&gt;'Auxiliar'!$B$5)),"Conferir data","OK"))))))</x:f>
      </x:c>
    </x:row>
    <x:row r="23" ht="40" customHeight="1">
      <x:c r="A23" s="23"/>
      <x:c r="B23" s="23"/>
      <x:c r="C23" s="24"/>
      <x:c r="D23" s="25"/>
      <x:c r="E23" s="27"/>
      <x:c r="F23" s="13"/>
      <x:c r="G23" s="13"/>
      <x:c r="H23" s="23"/>
      <x:c r="I23" s="23"/>
      <x:c r="J23" s="17" t="str">
        <x:f>IF(A23="","",IF('Auxiliar'!B8&lt;&gt;"OK","Conferir Auxiliar",IF(A23="","",IF(K23&lt;&gt;"OK","Conferir cadastro",IF(G23&lt;&gt;"",IF(AND(ISNUMBER(G23),G23&gt;0,G23&lt;='Auxiliar'!$B$5),"Pago","Conferir data"),IF(F23&lt;'Auxiliar'!$B$5,"Vencido",IF(F23='Auxiliar'!$B$5,"Vence hoje","A vencer")))))))</x:f>
      </x:c>
      <x:c r="K23" s="17" t="str">
        <x:f>IF(COUNTA(A23:I23)=0,"",IF(A23="","Informe ID",IF(COUNTIFS($A$7:$A$56,A23)&gt;1,"Duplicado",IF(COUNTIFS('Contratos'!$A$7:$A$56,B23)&lt;&gt;1,"Sem cadastro único",IF(OR(C23="",NOT(ISNUMBER(D23)),D23&lt;=0,NOT(ISNUMBER(E23)),E23&lt;0,NOT(ISNUMBER(F23)),F23&lt;=0,AND(H23&lt;&gt;"Completa",H23&lt;&gt;"Pendente")),"Incompleto",IF(AND(G23&lt;&gt;"",OR(NOT(ISNUMBER(G23)),G23&lt;=0,G23&gt;'Auxiliar'!$B$5)),"Conferir data","OK"))))))</x:f>
      </x:c>
    </x:row>
    <x:row r="24" ht="40" customHeight="1">
      <x:c r="A24" s="23"/>
      <x:c r="B24" s="23"/>
      <x:c r="C24" s="24"/>
      <x:c r="D24" s="25"/>
      <x:c r="E24" s="27"/>
      <x:c r="F24" s="13"/>
      <x:c r="G24" s="13"/>
      <x:c r="H24" s="23"/>
      <x:c r="I24" s="23"/>
      <x:c r="J24" s="17" t="str">
        <x:f>IF(A24="","",IF('Auxiliar'!B8&lt;&gt;"OK","Conferir Auxiliar",IF(A24="","",IF(K24&lt;&gt;"OK","Conferir cadastro",IF(G24&lt;&gt;"",IF(AND(ISNUMBER(G24),G24&gt;0,G24&lt;='Auxiliar'!$B$5),"Pago","Conferir data"),IF(F24&lt;'Auxiliar'!$B$5,"Vencido",IF(F24='Auxiliar'!$B$5,"Vence hoje","A vencer")))))))</x:f>
      </x:c>
      <x:c r="K24" s="17" t="str">
        <x:f>IF(COUNTA(A24:I24)=0,"",IF(A24="","Informe ID",IF(COUNTIFS($A$7:$A$56,A24)&gt;1,"Duplicado",IF(COUNTIFS('Contratos'!$A$7:$A$56,B24)&lt;&gt;1,"Sem cadastro único",IF(OR(C24="",NOT(ISNUMBER(D24)),D24&lt;=0,NOT(ISNUMBER(E24)),E24&lt;0,NOT(ISNUMBER(F24)),F24&lt;=0,AND(H24&lt;&gt;"Completa",H24&lt;&gt;"Pendente")),"Incompleto",IF(AND(G24&lt;&gt;"",OR(NOT(ISNUMBER(G24)),G24&lt;=0,G24&gt;'Auxiliar'!$B$5)),"Conferir data","OK"))))))</x:f>
      </x:c>
    </x:row>
    <x:row r="25" ht="40" customHeight="1">
      <x:c r="A25" s="23"/>
      <x:c r="B25" s="23"/>
      <x:c r="C25" s="24"/>
      <x:c r="D25" s="25"/>
      <x:c r="E25" s="27"/>
      <x:c r="F25" s="13"/>
      <x:c r="G25" s="13"/>
      <x:c r="H25" s="23"/>
      <x:c r="I25" s="23"/>
      <x:c r="J25" s="17" t="str">
        <x:f>IF(A25="","",IF('Auxiliar'!B8&lt;&gt;"OK","Conferir Auxiliar",IF(A25="","",IF(K25&lt;&gt;"OK","Conferir cadastro",IF(G25&lt;&gt;"",IF(AND(ISNUMBER(G25),G25&gt;0,G25&lt;='Auxiliar'!$B$5),"Pago","Conferir data"),IF(F25&lt;'Auxiliar'!$B$5,"Vencido",IF(F25='Auxiliar'!$B$5,"Vence hoje","A vencer")))))))</x:f>
      </x:c>
      <x:c r="K25" s="17" t="str">
        <x:f>IF(COUNTA(A25:I25)=0,"",IF(A25="","Informe ID",IF(COUNTIFS($A$7:$A$56,A25)&gt;1,"Duplicado",IF(COUNTIFS('Contratos'!$A$7:$A$56,B25)&lt;&gt;1,"Sem cadastro único",IF(OR(C25="",NOT(ISNUMBER(D25)),D25&lt;=0,NOT(ISNUMBER(E25)),E25&lt;0,NOT(ISNUMBER(F25)),F25&lt;=0,AND(H25&lt;&gt;"Completa",H25&lt;&gt;"Pendente")),"Incompleto",IF(AND(G25&lt;&gt;"",OR(NOT(ISNUMBER(G25)),G25&lt;=0,G25&gt;'Auxiliar'!$B$5)),"Conferir data","OK"))))))</x:f>
      </x:c>
    </x:row>
    <x:row r="26" ht="40" customHeight="1">
      <x:c r="A26" s="23"/>
      <x:c r="B26" s="23"/>
      <x:c r="C26" s="24"/>
      <x:c r="D26" s="25"/>
      <x:c r="E26" s="27"/>
      <x:c r="F26" s="13"/>
      <x:c r="G26" s="13"/>
      <x:c r="H26" s="23"/>
      <x:c r="I26" s="23"/>
      <x:c r="J26" s="17" t="str">
        <x:f>IF(A26="","",IF('Auxiliar'!B8&lt;&gt;"OK","Conferir Auxiliar",IF(A26="","",IF(K26&lt;&gt;"OK","Conferir cadastro",IF(G26&lt;&gt;"",IF(AND(ISNUMBER(G26),G26&gt;0,G26&lt;='Auxiliar'!$B$5),"Pago","Conferir data"),IF(F26&lt;'Auxiliar'!$B$5,"Vencido",IF(F26='Auxiliar'!$B$5,"Vence hoje","A vencer")))))))</x:f>
      </x:c>
      <x:c r="K26" s="17" t="str">
        <x:f>IF(COUNTA(A26:I26)=0,"",IF(A26="","Informe ID",IF(COUNTIFS($A$7:$A$56,A26)&gt;1,"Duplicado",IF(COUNTIFS('Contratos'!$A$7:$A$56,B26)&lt;&gt;1,"Sem cadastro único",IF(OR(C26="",NOT(ISNUMBER(D26)),D26&lt;=0,NOT(ISNUMBER(E26)),E26&lt;0,NOT(ISNUMBER(F26)),F26&lt;=0,AND(H26&lt;&gt;"Completa",H26&lt;&gt;"Pendente")),"Incompleto",IF(AND(G26&lt;&gt;"",OR(NOT(ISNUMBER(G26)),G26&lt;=0,G26&gt;'Auxiliar'!$B$5)),"Conferir data","OK"))))))</x:f>
      </x:c>
    </x:row>
    <x:row r="27" ht="40" customHeight="1">
      <x:c r="A27" s="23"/>
      <x:c r="B27" s="23"/>
      <x:c r="C27" s="24"/>
      <x:c r="D27" s="25"/>
      <x:c r="E27" s="27"/>
      <x:c r="F27" s="13"/>
      <x:c r="G27" s="13"/>
      <x:c r="H27" s="23"/>
      <x:c r="I27" s="23"/>
      <x:c r="J27" s="17" t="str">
        <x:f>IF(A27="","",IF('Auxiliar'!B8&lt;&gt;"OK","Conferir Auxiliar",IF(A27="","",IF(K27&lt;&gt;"OK","Conferir cadastro",IF(G27&lt;&gt;"",IF(AND(ISNUMBER(G27),G27&gt;0,G27&lt;='Auxiliar'!$B$5),"Pago","Conferir data"),IF(F27&lt;'Auxiliar'!$B$5,"Vencido",IF(F27='Auxiliar'!$B$5,"Vence hoje","A vencer")))))))</x:f>
      </x:c>
      <x:c r="K27" s="17" t="str">
        <x:f>IF(COUNTA(A27:I27)=0,"",IF(A27="","Informe ID",IF(COUNTIFS($A$7:$A$56,A27)&gt;1,"Duplicado",IF(COUNTIFS('Contratos'!$A$7:$A$56,B27)&lt;&gt;1,"Sem cadastro único",IF(OR(C27="",NOT(ISNUMBER(D27)),D27&lt;=0,NOT(ISNUMBER(E27)),E27&lt;0,NOT(ISNUMBER(F27)),F27&lt;=0,AND(H27&lt;&gt;"Completa",H27&lt;&gt;"Pendente")),"Incompleto",IF(AND(G27&lt;&gt;"",OR(NOT(ISNUMBER(G27)),G27&lt;=0,G27&gt;'Auxiliar'!$B$5)),"Conferir data","OK"))))))</x:f>
      </x:c>
    </x:row>
    <x:row r="28" ht="40" customHeight="1">
      <x:c r="A28" s="23"/>
      <x:c r="B28" s="23"/>
      <x:c r="C28" s="24"/>
      <x:c r="D28" s="25"/>
      <x:c r="E28" s="27"/>
      <x:c r="F28" s="13"/>
      <x:c r="G28" s="13"/>
      <x:c r="H28" s="23"/>
      <x:c r="I28" s="23"/>
      <x:c r="J28" s="17" t="str">
        <x:f>IF(A28="","",IF('Auxiliar'!B8&lt;&gt;"OK","Conferir Auxiliar",IF(A28="","",IF(K28&lt;&gt;"OK","Conferir cadastro",IF(G28&lt;&gt;"",IF(AND(ISNUMBER(G28),G28&gt;0,G28&lt;='Auxiliar'!$B$5),"Pago","Conferir data"),IF(F28&lt;'Auxiliar'!$B$5,"Vencido",IF(F28='Auxiliar'!$B$5,"Vence hoje","A vencer")))))))</x:f>
      </x:c>
      <x:c r="K28" s="17" t="str">
        <x:f>IF(COUNTA(A28:I28)=0,"",IF(A28="","Informe ID",IF(COUNTIFS($A$7:$A$56,A28)&gt;1,"Duplicado",IF(COUNTIFS('Contratos'!$A$7:$A$56,B28)&lt;&gt;1,"Sem cadastro único",IF(OR(C28="",NOT(ISNUMBER(D28)),D28&lt;=0,NOT(ISNUMBER(E28)),E28&lt;0,NOT(ISNUMBER(F28)),F28&lt;=0,AND(H28&lt;&gt;"Completa",H28&lt;&gt;"Pendente")),"Incompleto",IF(AND(G28&lt;&gt;"",OR(NOT(ISNUMBER(G28)),G28&lt;=0,G28&gt;'Auxiliar'!$B$5)),"Conferir data","OK"))))))</x:f>
      </x:c>
    </x:row>
    <x:row r="29" ht="40" customHeight="1">
      <x:c r="A29" s="23"/>
      <x:c r="B29" s="23"/>
      <x:c r="C29" s="24"/>
      <x:c r="D29" s="25"/>
      <x:c r="E29" s="27"/>
      <x:c r="F29" s="13"/>
      <x:c r="G29" s="13"/>
      <x:c r="H29" s="23"/>
      <x:c r="I29" s="23"/>
      <x:c r="J29" s="17" t="str">
        <x:f>IF(A29="","",IF('Auxiliar'!B8&lt;&gt;"OK","Conferir Auxiliar",IF(A29="","",IF(K29&lt;&gt;"OK","Conferir cadastro",IF(G29&lt;&gt;"",IF(AND(ISNUMBER(G29),G29&gt;0,G29&lt;='Auxiliar'!$B$5),"Pago","Conferir data"),IF(F29&lt;'Auxiliar'!$B$5,"Vencido",IF(F29='Auxiliar'!$B$5,"Vence hoje","A vencer")))))))</x:f>
      </x:c>
      <x:c r="K29" s="17" t="str">
        <x:f>IF(COUNTA(A29:I29)=0,"",IF(A29="","Informe ID",IF(COUNTIFS($A$7:$A$56,A29)&gt;1,"Duplicado",IF(COUNTIFS('Contratos'!$A$7:$A$56,B29)&lt;&gt;1,"Sem cadastro único",IF(OR(C29="",NOT(ISNUMBER(D29)),D29&lt;=0,NOT(ISNUMBER(E29)),E29&lt;0,NOT(ISNUMBER(F29)),F29&lt;=0,AND(H29&lt;&gt;"Completa",H29&lt;&gt;"Pendente")),"Incompleto",IF(AND(G29&lt;&gt;"",OR(NOT(ISNUMBER(G29)),G29&lt;=0,G29&gt;'Auxiliar'!$B$5)),"Conferir data","OK"))))))</x:f>
      </x:c>
    </x:row>
    <x:row r="30" ht="40" customHeight="1">
      <x:c r="A30" s="23"/>
      <x:c r="B30" s="23"/>
      <x:c r="C30" s="24"/>
      <x:c r="D30" s="25"/>
      <x:c r="E30" s="27"/>
      <x:c r="F30" s="13"/>
      <x:c r="G30" s="13"/>
      <x:c r="H30" s="23"/>
      <x:c r="I30" s="23"/>
      <x:c r="J30" s="17" t="str">
        <x:f>IF(A30="","",IF('Auxiliar'!B8&lt;&gt;"OK","Conferir Auxiliar",IF(A30="","",IF(K30&lt;&gt;"OK","Conferir cadastro",IF(G30&lt;&gt;"",IF(AND(ISNUMBER(G30),G30&gt;0,G30&lt;='Auxiliar'!$B$5),"Pago","Conferir data"),IF(F30&lt;'Auxiliar'!$B$5,"Vencido",IF(F30='Auxiliar'!$B$5,"Vence hoje","A vencer")))))))</x:f>
      </x:c>
      <x:c r="K30" s="17" t="str">
        <x:f>IF(COUNTA(A30:I30)=0,"",IF(A30="","Informe ID",IF(COUNTIFS($A$7:$A$56,A30)&gt;1,"Duplicado",IF(COUNTIFS('Contratos'!$A$7:$A$56,B30)&lt;&gt;1,"Sem cadastro único",IF(OR(C30="",NOT(ISNUMBER(D30)),D30&lt;=0,NOT(ISNUMBER(E30)),E30&lt;0,NOT(ISNUMBER(F30)),F30&lt;=0,AND(H30&lt;&gt;"Completa",H30&lt;&gt;"Pendente")),"Incompleto",IF(AND(G30&lt;&gt;"",OR(NOT(ISNUMBER(G30)),G30&lt;=0,G30&gt;'Auxiliar'!$B$5)),"Conferir data","OK"))))))</x:f>
      </x:c>
    </x:row>
    <x:row r="31" ht="40" customHeight="1">
      <x:c r="A31" s="23"/>
      <x:c r="B31" s="23"/>
      <x:c r="C31" s="24"/>
      <x:c r="D31" s="25"/>
      <x:c r="E31" s="27"/>
      <x:c r="F31" s="13"/>
      <x:c r="G31" s="13"/>
      <x:c r="H31" s="23"/>
      <x:c r="I31" s="23"/>
      <x:c r="J31" s="17" t="str">
        <x:f>IF(A31="","",IF('Auxiliar'!B8&lt;&gt;"OK","Conferir Auxiliar",IF(A31="","",IF(K31&lt;&gt;"OK","Conferir cadastro",IF(G31&lt;&gt;"",IF(AND(ISNUMBER(G31),G31&gt;0,G31&lt;='Auxiliar'!$B$5),"Pago","Conferir data"),IF(F31&lt;'Auxiliar'!$B$5,"Vencido",IF(F31='Auxiliar'!$B$5,"Vence hoje","A vencer")))))))</x:f>
      </x:c>
      <x:c r="K31" s="17" t="str">
        <x:f>IF(COUNTA(A31:I31)=0,"",IF(A31="","Informe ID",IF(COUNTIFS($A$7:$A$56,A31)&gt;1,"Duplicado",IF(COUNTIFS('Contratos'!$A$7:$A$56,B31)&lt;&gt;1,"Sem cadastro único",IF(OR(C31="",NOT(ISNUMBER(D31)),D31&lt;=0,NOT(ISNUMBER(E31)),E31&lt;0,NOT(ISNUMBER(F31)),F31&lt;=0,AND(H31&lt;&gt;"Completa",H31&lt;&gt;"Pendente")),"Incompleto",IF(AND(G31&lt;&gt;"",OR(NOT(ISNUMBER(G31)),G31&lt;=0,G31&gt;'Auxiliar'!$B$5)),"Conferir data","OK"))))))</x:f>
      </x:c>
    </x:row>
    <x:row r="32" ht="40" customHeight="1">
      <x:c r="A32" s="23"/>
      <x:c r="B32" s="23"/>
      <x:c r="C32" s="24"/>
      <x:c r="D32" s="25"/>
      <x:c r="E32" s="27"/>
      <x:c r="F32" s="13"/>
      <x:c r="G32" s="13"/>
      <x:c r="H32" s="23"/>
      <x:c r="I32" s="23"/>
      <x:c r="J32" s="17" t="str">
        <x:f>IF(A32="","",IF('Auxiliar'!B8&lt;&gt;"OK","Conferir Auxiliar",IF(A32="","",IF(K32&lt;&gt;"OK","Conferir cadastro",IF(G32&lt;&gt;"",IF(AND(ISNUMBER(G32),G32&gt;0,G32&lt;='Auxiliar'!$B$5),"Pago","Conferir data"),IF(F32&lt;'Auxiliar'!$B$5,"Vencido",IF(F32='Auxiliar'!$B$5,"Vence hoje","A vencer")))))))</x:f>
      </x:c>
      <x:c r="K32" s="17" t="str">
        <x:f>IF(COUNTA(A32:I32)=0,"",IF(A32="","Informe ID",IF(COUNTIFS($A$7:$A$56,A32)&gt;1,"Duplicado",IF(COUNTIFS('Contratos'!$A$7:$A$56,B32)&lt;&gt;1,"Sem cadastro único",IF(OR(C32="",NOT(ISNUMBER(D32)),D32&lt;=0,NOT(ISNUMBER(E32)),E32&lt;0,NOT(ISNUMBER(F32)),F32&lt;=0,AND(H32&lt;&gt;"Completa",H32&lt;&gt;"Pendente")),"Incompleto",IF(AND(G32&lt;&gt;"",OR(NOT(ISNUMBER(G32)),G32&lt;=0,G32&gt;'Auxiliar'!$B$5)),"Conferir data","OK"))))))</x:f>
      </x:c>
    </x:row>
    <x:row r="33" ht="40" customHeight="1">
      <x:c r="A33" s="23"/>
      <x:c r="B33" s="23"/>
      <x:c r="C33" s="24"/>
      <x:c r="D33" s="25"/>
      <x:c r="E33" s="27"/>
      <x:c r="F33" s="13"/>
      <x:c r="G33" s="13"/>
      <x:c r="H33" s="23"/>
      <x:c r="I33" s="23"/>
      <x:c r="J33" s="17" t="str">
        <x:f>IF(A33="","",IF('Auxiliar'!B8&lt;&gt;"OK","Conferir Auxiliar",IF(A33="","",IF(K33&lt;&gt;"OK","Conferir cadastro",IF(G33&lt;&gt;"",IF(AND(ISNUMBER(G33),G33&gt;0,G33&lt;='Auxiliar'!$B$5),"Pago","Conferir data"),IF(F33&lt;'Auxiliar'!$B$5,"Vencido",IF(F33='Auxiliar'!$B$5,"Vence hoje","A vencer")))))))</x:f>
      </x:c>
      <x:c r="K33" s="17" t="str">
        <x:f>IF(COUNTA(A33:I33)=0,"",IF(A33="","Informe ID",IF(COUNTIFS($A$7:$A$56,A33)&gt;1,"Duplicado",IF(COUNTIFS('Contratos'!$A$7:$A$56,B33)&lt;&gt;1,"Sem cadastro único",IF(OR(C33="",NOT(ISNUMBER(D33)),D33&lt;=0,NOT(ISNUMBER(E33)),E33&lt;0,NOT(ISNUMBER(F33)),F33&lt;=0,AND(H33&lt;&gt;"Completa",H33&lt;&gt;"Pendente")),"Incompleto",IF(AND(G33&lt;&gt;"",OR(NOT(ISNUMBER(G33)),G33&lt;=0,G33&gt;'Auxiliar'!$B$5)),"Conferir data","OK"))))))</x:f>
      </x:c>
    </x:row>
    <x:row r="34" ht="40" customHeight="1">
      <x:c r="A34" s="23"/>
      <x:c r="B34" s="23"/>
      <x:c r="C34" s="24"/>
      <x:c r="D34" s="25"/>
      <x:c r="E34" s="27"/>
      <x:c r="F34" s="13"/>
      <x:c r="G34" s="13"/>
      <x:c r="H34" s="23"/>
      <x:c r="I34" s="23"/>
      <x:c r="J34" s="17" t="str">
        <x:f>IF(A34="","",IF('Auxiliar'!B8&lt;&gt;"OK","Conferir Auxiliar",IF(A34="","",IF(K34&lt;&gt;"OK","Conferir cadastro",IF(G34&lt;&gt;"",IF(AND(ISNUMBER(G34),G34&gt;0,G34&lt;='Auxiliar'!$B$5),"Pago","Conferir data"),IF(F34&lt;'Auxiliar'!$B$5,"Vencido",IF(F34='Auxiliar'!$B$5,"Vence hoje","A vencer")))))))</x:f>
      </x:c>
      <x:c r="K34" s="17" t="str">
        <x:f>IF(COUNTA(A34:I34)=0,"",IF(A34="","Informe ID",IF(COUNTIFS($A$7:$A$56,A34)&gt;1,"Duplicado",IF(COUNTIFS('Contratos'!$A$7:$A$56,B34)&lt;&gt;1,"Sem cadastro único",IF(OR(C34="",NOT(ISNUMBER(D34)),D34&lt;=0,NOT(ISNUMBER(E34)),E34&lt;0,NOT(ISNUMBER(F34)),F34&lt;=0,AND(H34&lt;&gt;"Completa",H34&lt;&gt;"Pendente")),"Incompleto",IF(AND(G34&lt;&gt;"",OR(NOT(ISNUMBER(G34)),G34&lt;=0,G34&gt;'Auxiliar'!$B$5)),"Conferir data","OK"))))))</x:f>
      </x:c>
    </x:row>
    <x:row r="35" ht="40" customHeight="1">
      <x:c r="A35" s="23"/>
      <x:c r="B35" s="23"/>
      <x:c r="C35" s="24"/>
      <x:c r="D35" s="25"/>
      <x:c r="E35" s="27"/>
      <x:c r="F35" s="13"/>
      <x:c r="G35" s="13"/>
      <x:c r="H35" s="23"/>
      <x:c r="I35" s="23"/>
      <x:c r="J35" s="17" t="str">
        <x:f>IF(A35="","",IF('Auxiliar'!B8&lt;&gt;"OK","Conferir Auxiliar",IF(A35="","",IF(K35&lt;&gt;"OK","Conferir cadastro",IF(G35&lt;&gt;"",IF(AND(ISNUMBER(G35),G35&gt;0,G35&lt;='Auxiliar'!$B$5),"Pago","Conferir data"),IF(F35&lt;'Auxiliar'!$B$5,"Vencido",IF(F35='Auxiliar'!$B$5,"Vence hoje","A vencer")))))))</x:f>
      </x:c>
      <x:c r="K35" s="17" t="str">
        <x:f>IF(COUNTA(A35:I35)=0,"",IF(A35="","Informe ID",IF(COUNTIFS($A$7:$A$56,A35)&gt;1,"Duplicado",IF(COUNTIFS('Contratos'!$A$7:$A$56,B35)&lt;&gt;1,"Sem cadastro único",IF(OR(C35="",NOT(ISNUMBER(D35)),D35&lt;=0,NOT(ISNUMBER(E35)),E35&lt;0,NOT(ISNUMBER(F35)),F35&lt;=0,AND(H35&lt;&gt;"Completa",H35&lt;&gt;"Pendente")),"Incompleto",IF(AND(G35&lt;&gt;"",OR(NOT(ISNUMBER(G35)),G35&lt;=0,G35&gt;'Auxiliar'!$B$5)),"Conferir data","OK"))))))</x:f>
      </x:c>
    </x:row>
    <x:row r="36" ht="40" customHeight="1">
      <x:c r="A36" s="23"/>
      <x:c r="B36" s="23"/>
      <x:c r="C36" s="24"/>
      <x:c r="D36" s="25"/>
      <x:c r="E36" s="27"/>
      <x:c r="F36" s="13"/>
      <x:c r="G36" s="13"/>
      <x:c r="H36" s="23"/>
      <x:c r="I36" s="23"/>
      <x:c r="J36" s="17" t="str">
        <x:f>IF(A36="","",IF('Auxiliar'!B8&lt;&gt;"OK","Conferir Auxiliar",IF(A36="","",IF(K36&lt;&gt;"OK","Conferir cadastro",IF(G36&lt;&gt;"",IF(AND(ISNUMBER(G36),G36&gt;0,G36&lt;='Auxiliar'!$B$5),"Pago","Conferir data"),IF(F36&lt;'Auxiliar'!$B$5,"Vencido",IF(F36='Auxiliar'!$B$5,"Vence hoje","A vencer")))))))</x:f>
      </x:c>
      <x:c r="K36" s="17" t="str">
        <x:f>IF(COUNTA(A36:I36)=0,"",IF(A36="","Informe ID",IF(COUNTIFS($A$7:$A$56,A36)&gt;1,"Duplicado",IF(COUNTIFS('Contratos'!$A$7:$A$56,B36)&lt;&gt;1,"Sem cadastro único",IF(OR(C36="",NOT(ISNUMBER(D36)),D36&lt;=0,NOT(ISNUMBER(E36)),E36&lt;0,NOT(ISNUMBER(F36)),F36&lt;=0,AND(H36&lt;&gt;"Completa",H36&lt;&gt;"Pendente")),"Incompleto",IF(AND(G36&lt;&gt;"",OR(NOT(ISNUMBER(G36)),G36&lt;=0,G36&gt;'Auxiliar'!$B$5)),"Conferir data","OK"))))))</x:f>
      </x:c>
    </x:row>
    <x:row r="37" ht="40" customHeight="1">
      <x:c r="A37" s="23"/>
      <x:c r="B37" s="23"/>
      <x:c r="C37" s="24"/>
      <x:c r="D37" s="25"/>
      <x:c r="E37" s="27"/>
      <x:c r="F37" s="13"/>
      <x:c r="G37" s="13"/>
      <x:c r="H37" s="23"/>
      <x:c r="I37" s="23"/>
      <x:c r="J37" s="17" t="str">
        <x:f>IF(A37="","",IF('Auxiliar'!B8&lt;&gt;"OK","Conferir Auxiliar",IF(A37="","",IF(K37&lt;&gt;"OK","Conferir cadastro",IF(G37&lt;&gt;"",IF(AND(ISNUMBER(G37),G37&gt;0,G37&lt;='Auxiliar'!$B$5),"Pago","Conferir data"),IF(F37&lt;'Auxiliar'!$B$5,"Vencido",IF(F37='Auxiliar'!$B$5,"Vence hoje","A vencer")))))))</x:f>
      </x:c>
      <x:c r="K37" s="17" t="str">
        <x:f>IF(COUNTA(A37:I37)=0,"",IF(A37="","Informe ID",IF(COUNTIFS($A$7:$A$56,A37)&gt;1,"Duplicado",IF(COUNTIFS('Contratos'!$A$7:$A$56,B37)&lt;&gt;1,"Sem cadastro único",IF(OR(C37="",NOT(ISNUMBER(D37)),D37&lt;=0,NOT(ISNUMBER(E37)),E37&lt;0,NOT(ISNUMBER(F37)),F37&lt;=0,AND(H37&lt;&gt;"Completa",H37&lt;&gt;"Pendente")),"Incompleto",IF(AND(G37&lt;&gt;"",OR(NOT(ISNUMBER(G37)),G37&lt;=0,G37&gt;'Auxiliar'!$B$5)),"Conferir data","OK"))))))</x:f>
      </x:c>
    </x:row>
    <x:row r="38" ht="40" customHeight="1">
      <x:c r="A38" s="23"/>
      <x:c r="B38" s="23"/>
      <x:c r="C38" s="24"/>
      <x:c r="D38" s="25"/>
      <x:c r="E38" s="27"/>
      <x:c r="F38" s="13"/>
      <x:c r="G38" s="13"/>
      <x:c r="H38" s="23"/>
      <x:c r="I38" s="23"/>
      <x:c r="J38" s="17" t="str">
        <x:f>IF(A38="","",IF('Auxiliar'!B8&lt;&gt;"OK","Conferir Auxiliar",IF(A38="","",IF(K38&lt;&gt;"OK","Conferir cadastro",IF(G38&lt;&gt;"",IF(AND(ISNUMBER(G38),G38&gt;0,G38&lt;='Auxiliar'!$B$5),"Pago","Conferir data"),IF(F38&lt;'Auxiliar'!$B$5,"Vencido",IF(F38='Auxiliar'!$B$5,"Vence hoje","A vencer")))))))</x:f>
      </x:c>
      <x:c r="K38" s="17" t="str">
        <x:f>IF(COUNTA(A38:I38)=0,"",IF(A38="","Informe ID",IF(COUNTIFS($A$7:$A$56,A38)&gt;1,"Duplicado",IF(COUNTIFS('Contratos'!$A$7:$A$56,B38)&lt;&gt;1,"Sem cadastro único",IF(OR(C38="",NOT(ISNUMBER(D38)),D38&lt;=0,NOT(ISNUMBER(E38)),E38&lt;0,NOT(ISNUMBER(F38)),F38&lt;=0,AND(H38&lt;&gt;"Completa",H38&lt;&gt;"Pendente")),"Incompleto",IF(AND(G38&lt;&gt;"",OR(NOT(ISNUMBER(G38)),G38&lt;=0,G38&gt;'Auxiliar'!$B$5)),"Conferir data","OK"))))))</x:f>
      </x:c>
    </x:row>
    <x:row r="39" ht="40" customHeight="1">
      <x:c r="A39" s="23"/>
      <x:c r="B39" s="23"/>
      <x:c r="C39" s="24"/>
      <x:c r="D39" s="25"/>
      <x:c r="E39" s="27"/>
      <x:c r="F39" s="13"/>
      <x:c r="G39" s="13"/>
      <x:c r="H39" s="23"/>
      <x:c r="I39" s="23"/>
      <x:c r="J39" s="17" t="str">
        <x:f>IF(A39="","",IF('Auxiliar'!B8&lt;&gt;"OK","Conferir Auxiliar",IF(A39="","",IF(K39&lt;&gt;"OK","Conferir cadastro",IF(G39&lt;&gt;"",IF(AND(ISNUMBER(G39),G39&gt;0,G39&lt;='Auxiliar'!$B$5),"Pago","Conferir data"),IF(F39&lt;'Auxiliar'!$B$5,"Vencido",IF(F39='Auxiliar'!$B$5,"Vence hoje","A vencer")))))))</x:f>
      </x:c>
      <x:c r="K39" s="17" t="str">
        <x:f>IF(COUNTA(A39:I39)=0,"",IF(A39="","Informe ID",IF(COUNTIFS($A$7:$A$56,A39)&gt;1,"Duplicado",IF(COUNTIFS('Contratos'!$A$7:$A$56,B39)&lt;&gt;1,"Sem cadastro único",IF(OR(C39="",NOT(ISNUMBER(D39)),D39&lt;=0,NOT(ISNUMBER(E39)),E39&lt;0,NOT(ISNUMBER(F39)),F39&lt;=0,AND(H39&lt;&gt;"Completa",H39&lt;&gt;"Pendente")),"Incompleto",IF(AND(G39&lt;&gt;"",OR(NOT(ISNUMBER(G39)),G39&lt;=0,G39&gt;'Auxiliar'!$B$5)),"Conferir data","OK"))))))</x:f>
      </x:c>
    </x:row>
    <x:row r="40" ht="40" customHeight="1">
      <x:c r="A40" s="23"/>
      <x:c r="B40" s="23"/>
      <x:c r="C40" s="24"/>
      <x:c r="D40" s="25"/>
      <x:c r="E40" s="27"/>
      <x:c r="F40" s="13"/>
      <x:c r="G40" s="13"/>
      <x:c r="H40" s="23"/>
      <x:c r="I40" s="23"/>
      <x:c r="J40" s="17" t="str">
        <x:f>IF(A40="","",IF('Auxiliar'!B8&lt;&gt;"OK","Conferir Auxiliar",IF(A40="","",IF(K40&lt;&gt;"OK","Conferir cadastro",IF(G40&lt;&gt;"",IF(AND(ISNUMBER(G40),G40&gt;0,G40&lt;='Auxiliar'!$B$5),"Pago","Conferir data"),IF(F40&lt;'Auxiliar'!$B$5,"Vencido",IF(F40='Auxiliar'!$B$5,"Vence hoje","A vencer")))))))</x:f>
      </x:c>
      <x:c r="K40" s="17" t="str">
        <x:f>IF(COUNTA(A40:I40)=0,"",IF(A40="","Informe ID",IF(COUNTIFS($A$7:$A$56,A40)&gt;1,"Duplicado",IF(COUNTIFS('Contratos'!$A$7:$A$56,B40)&lt;&gt;1,"Sem cadastro único",IF(OR(C40="",NOT(ISNUMBER(D40)),D40&lt;=0,NOT(ISNUMBER(E40)),E40&lt;0,NOT(ISNUMBER(F40)),F40&lt;=0,AND(H40&lt;&gt;"Completa",H40&lt;&gt;"Pendente")),"Incompleto",IF(AND(G40&lt;&gt;"",OR(NOT(ISNUMBER(G40)),G40&lt;=0,G40&gt;'Auxiliar'!$B$5)),"Conferir data","OK"))))))</x:f>
      </x:c>
    </x:row>
    <x:row r="41" ht="40" customHeight="1">
      <x:c r="A41" s="23"/>
      <x:c r="B41" s="23"/>
      <x:c r="C41" s="24"/>
      <x:c r="D41" s="25"/>
      <x:c r="E41" s="27"/>
      <x:c r="F41" s="13"/>
      <x:c r="G41" s="13"/>
      <x:c r="H41" s="23"/>
      <x:c r="I41" s="23"/>
      <x:c r="J41" s="17" t="str">
        <x:f>IF(A41="","",IF('Auxiliar'!B8&lt;&gt;"OK","Conferir Auxiliar",IF(A41="","",IF(K41&lt;&gt;"OK","Conferir cadastro",IF(G41&lt;&gt;"",IF(AND(ISNUMBER(G41),G41&gt;0,G41&lt;='Auxiliar'!$B$5),"Pago","Conferir data"),IF(F41&lt;'Auxiliar'!$B$5,"Vencido",IF(F41='Auxiliar'!$B$5,"Vence hoje","A vencer")))))))</x:f>
      </x:c>
      <x:c r="K41" s="17" t="str">
        <x:f>IF(COUNTA(A41:I41)=0,"",IF(A41="","Informe ID",IF(COUNTIFS($A$7:$A$56,A41)&gt;1,"Duplicado",IF(COUNTIFS('Contratos'!$A$7:$A$56,B41)&lt;&gt;1,"Sem cadastro único",IF(OR(C41="",NOT(ISNUMBER(D41)),D41&lt;=0,NOT(ISNUMBER(E41)),E41&lt;0,NOT(ISNUMBER(F41)),F41&lt;=0,AND(H41&lt;&gt;"Completa",H41&lt;&gt;"Pendente")),"Incompleto",IF(AND(G41&lt;&gt;"",OR(NOT(ISNUMBER(G41)),G41&lt;=0,G41&gt;'Auxiliar'!$B$5)),"Conferir data","OK"))))))</x:f>
      </x:c>
    </x:row>
    <x:row r="42" ht="40" customHeight="1">
      <x:c r="A42" s="23"/>
      <x:c r="B42" s="23"/>
      <x:c r="C42" s="24"/>
      <x:c r="D42" s="25"/>
      <x:c r="E42" s="27"/>
      <x:c r="F42" s="13"/>
      <x:c r="G42" s="13"/>
      <x:c r="H42" s="23"/>
      <x:c r="I42" s="23"/>
      <x:c r="J42" s="17" t="str">
        <x:f>IF(A42="","",IF('Auxiliar'!B8&lt;&gt;"OK","Conferir Auxiliar",IF(A42="","",IF(K42&lt;&gt;"OK","Conferir cadastro",IF(G42&lt;&gt;"",IF(AND(ISNUMBER(G42),G42&gt;0,G42&lt;='Auxiliar'!$B$5),"Pago","Conferir data"),IF(F42&lt;'Auxiliar'!$B$5,"Vencido",IF(F42='Auxiliar'!$B$5,"Vence hoje","A vencer")))))))</x:f>
      </x:c>
      <x:c r="K42" s="17" t="str">
        <x:f>IF(COUNTA(A42:I42)=0,"",IF(A42="","Informe ID",IF(COUNTIFS($A$7:$A$56,A42)&gt;1,"Duplicado",IF(COUNTIFS('Contratos'!$A$7:$A$56,B42)&lt;&gt;1,"Sem cadastro único",IF(OR(C42="",NOT(ISNUMBER(D42)),D42&lt;=0,NOT(ISNUMBER(E42)),E42&lt;0,NOT(ISNUMBER(F42)),F42&lt;=0,AND(H42&lt;&gt;"Completa",H42&lt;&gt;"Pendente")),"Incompleto",IF(AND(G42&lt;&gt;"",OR(NOT(ISNUMBER(G42)),G42&lt;=0,G42&gt;'Auxiliar'!$B$5)),"Conferir data","OK"))))))</x:f>
      </x:c>
    </x:row>
    <x:row r="43" ht="40" customHeight="1">
      <x:c r="A43" s="23"/>
      <x:c r="B43" s="23"/>
      <x:c r="C43" s="24"/>
      <x:c r="D43" s="25"/>
      <x:c r="E43" s="27"/>
      <x:c r="F43" s="13"/>
      <x:c r="G43" s="13"/>
      <x:c r="H43" s="23"/>
      <x:c r="I43" s="23"/>
      <x:c r="J43" s="17" t="str">
        <x:f>IF(A43="","",IF('Auxiliar'!B8&lt;&gt;"OK","Conferir Auxiliar",IF(A43="","",IF(K43&lt;&gt;"OK","Conferir cadastro",IF(G43&lt;&gt;"",IF(AND(ISNUMBER(G43),G43&gt;0,G43&lt;='Auxiliar'!$B$5),"Pago","Conferir data"),IF(F43&lt;'Auxiliar'!$B$5,"Vencido",IF(F43='Auxiliar'!$B$5,"Vence hoje","A vencer")))))))</x:f>
      </x:c>
      <x:c r="K43" s="17" t="str">
        <x:f>IF(COUNTA(A43:I43)=0,"",IF(A43="","Informe ID",IF(COUNTIFS($A$7:$A$56,A43)&gt;1,"Duplicado",IF(COUNTIFS('Contratos'!$A$7:$A$56,B43)&lt;&gt;1,"Sem cadastro único",IF(OR(C43="",NOT(ISNUMBER(D43)),D43&lt;=0,NOT(ISNUMBER(E43)),E43&lt;0,NOT(ISNUMBER(F43)),F43&lt;=0,AND(H43&lt;&gt;"Completa",H43&lt;&gt;"Pendente")),"Incompleto",IF(AND(G43&lt;&gt;"",OR(NOT(ISNUMBER(G43)),G43&lt;=0,G43&gt;'Auxiliar'!$B$5)),"Conferir data","OK"))))))</x:f>
      </x:c>
    </x:row>
    <x:row r="44" ht="40" customHeight="1">
      <x:c r="A44" s="23"/>
      <x:c r="B44" s="23"/>
      <x:c r="C44" s="24"/>
      <x:c r="D44" s="25"/>
      <x:c r="E44" s="27"/>
      <x:c r="F44" s="13"/>
      <x:c r="G44" s="13"/>
      <x:c r="H44" s="23"/>
      <x:c r="I44" s="23"/>
      <x:c r="J44" s="17" t="str">
        <x:f>IF(A44="","",IF('Auxiliar'!B8&lt;&gt;"OK","Conferir Auxiliar",IF(A44="","",IF(K44&lt;&gt;"OK","Conferir cadastro",IF(G44&lt;&gt;"",IF(AND(ISNUMBER(G44),G44&gt;0,G44&lt;='Auxiliar'!$B$5),"Pago","Conferir data"),IF(F44&lt;'Auxiliar'!$B$5,"Vencido",IF(F44='Auxiliar'!$B$5,"Vence hoje","A vencer")))))))</x:f>
      </x:c>
      <x:c r="K44" s="17" t="str">
        <x:f>IF(COUNTA(A44:I44)=0,"",IF(A44="","Informe ID",IF(COUNTIFS($A$7:$A$56,A44)&gt;1,"Duplicado",IF(COUNTIFS('Contratos'!$A$7:$A$56,B44)&lt;&gt;1,"Sem cadastro único",IF(OR(C44="",NOT(ISNUMBER(D44)),D44&lt;=0,NOT(ISNUMBER(E44)),E44&lt;0,NOT(ISNUMBER(F44)),F44&lt;=0,AND(H44&lt;&gt;"Completa",H44&lt;&gt;"Pendente")),"Incompleto",IF(AND(G44&lt;&gt;"",OR(NOT(ISNUMBER(G44)),G44&lt;=0,G44&gt;'Auxiliar'!$B$5)),"Conferir data","OK"))))))</x:f>
      </x:c>
    </x:row>
    <x:row r="45" ht="40" customHeight="1">
      <x:c r="A45" s="23"/>
      <x:c r="B45" s="23"/>
      <x:c r="C45" s="24"/>
      <x:c r="D45" s="25"/>
      <x:c r="E45" s="27"/>
      <x:c r="F45" s="13"/>
      <x:c r="G45" s="13"/>
      <x:c r="H45" s="23"/>
      <x:c r="I45" s="23"/>
      <x:c r="J45" s="17" t="str">
        <x:f>IF(A45="","",IF('Auxiliar'!B8&lt;&gt;"OK","Conferir Auxiliar",IF(A45="","",IF(K45&lt;&gt;"OK","Conferir cadastro",IF(G45&lt;&gt;"",IF(AND(ISNUMBER(G45),G45&gt;0,G45&lt;='Auxiliar'!$B$5),"Pago","Conferir data"),IF(F45&lt;'Auxiliar'!$B$5,"Vencido",IF(F45='Auxiliar'!$B$5,"Vence hoje","A vencer")))))))</x:f>
      </x:c>
      <x:c r="K45" s="17" t="str">
        <x:f>IF(COUNTA(A45:I45)=0,"",IF(A45="","Informe ID",IF(COUNTIFS($A$7:$A$56,A45)&gt;1,"Duplicado",IF(COUNTIFS('Contratos'!$A$7:$A$56,B45)&lt;&gt;1,"Sem cadastro único",IF(OR(C45="",NOT(ISNUMBER(D45)),D45&lt;=0,NOT(ISNUMBER(E45)),E45&lt;0,NOT(ISNUMBER(F45)),F45&lt;=0,AND(H45&lt;&gt;"Completa",H45&lt;&gt;"Pendente")),"Incompleto",IF(AND(G45&lt;&gt;"",OR(NOT(ISNUMBER(G45)),G45&lt;=0,G45&gt;'Auxiliar'!$B$5)),"Conferir data","OK"))))))</x:f>
      </x:c>
    </x:row>
    <x:row r="46" ht="40" customHeight="1">
      <x:c r="A46" s="23"/>
      <x:c r="B46" s="23"/>
      <x:c r="C46" s="24"/>
      <x:c r="D46" s="25"/>
      <x:c r="E46" s="27"/>
      <x:c r="F46" s="13"/>
      <x:c r="G46" s="13"/>
      <x:c r="H46" s="23"/>
      <x:c r="I46" s="23"/>
      <x:c r="J46" s="17" t="str">
        <x:f>IF(A46="","",IF('Auxiliar'!B8&lt;&gt;"OK","Conferir Auxiliar",IF(A46="","",IF(K46&lt;&gt;"OK","Conferir cadastro",IF(G46&lt;&gt;"",IF(AND(ISNUMBER(G46),G46&gt;0,G46&lt;='Auxiliar'!$B$5),"Pago","Conferir data"),IF(F46&lt;'Auxiliar'!$B$5,"Vencido",IF(F46='Auxiliar'!$B$5,"Vence hoje","A vencer")))))))</x:f>
      </x:c>
      <x:c r="K46" s="17" t="str">
        <x:f>IF(COUNTA(A46:I46)=0,"",IF(A46="","Informe ID",IF(COUNTIFS($A$7:$A$56,A46)&gt;1,"Duplicado",IF(COUNTIFS('Contratos'!$A$7:$A$56,B46)&lt;&gt;1,"Sem cadastro único",IF(OR(C46="",NOT(ISNUMBER(D46)),D46&lt;=0,NOT(ISNUMBER(E46)),E46&lt;0,NOT(ISNUMBER(F46)),F46&lt;=0,AND(H46&lt;&gt;"Completa",H46&lt;&gt;"Pendente")),"Incompleto",IF(AND(G46&lt;&gt;"",OR(NOT(ISNUMBER(G46)),G46&lt;=0,G46&gt;'Auxiliar'!$B$5)),"Conferir data","OK"))))))</x:f>
      </x:c>
    </x:row>
    <x:row r="47" ht="40" customHeight="1">
      <x:c r="A47" s="23"/>
      <x:c r="B47" s="23"/>
      <x:c r="C47" s="24"/>
      <x:c r="D47" s="25"/>
      <x:c r="E47" s="27"/>
      <x:c r="F47" s="13"/>
      <x:c r="G47" s="13"/>
      <x:c r="H47" s="23"/>
      <x:c r="I47" s="23"/>
      <x:c r="J47" s="17" t="str">
        <x:f>IF(A47="","",IF('Auxiliar'!B8&lt;&gt;"OK","Conferir Auxiliar",IF(A47="","",IF(K47&lt;&gt;"OK","Conferir cadastro",IF(G47&lt;&gt;"",IF(AND(ISNUMBER(G47),G47&gt;0,G47&lt;='Auxiliar'!$B$5),"Pago","Conferir data"),IF(F47&lt;'Auxiliar'!$B$5,"Vencido",IF(F47='Auxiliar'!$B$5,"Vence hoje","A vencer")))))))</x:f>
      </x:c>
      <x:c r="K47" s="17" t="str">
        <x:f>IF(COUNTA(A47:I47)=0,"",IF(A47="","Informe ID",IF(COUNTIFS($A$7:$A$56,A47)&gt;1,"Duplicado",IF(COUNTIFS('Contratos'!$A$7:$A$56,B47)&lt;&gt;1,"Sem cadastro único",IF(OR(C47="",NOT(ISNUMBER(D47)),D47&lt;=0,NOT(ISNUMBER(E47)),E47&lt;0,NOT(ISNUMBER(F47)),F47&lt;=0,AND(H47&lt;&gt;"Completa",H47&lt;&gt;"Pendente")),"Incompleto",IF(AND(G47&lt;&gt;"",OR(NOT(ISNUMBER(G47)),G47&lt;=0,G47&gt;'Auxiliar'!$B$5)),"Conferir data","OK"))))))</x:f>
      </x:c>
    </x:row>
    <x:row r="48" ht="40" customHeight="1">
      <x:c r="A48" s="23"/>
      <x:c r="B48" s="23"/>
      <x:c r="C48" s="24"/>
      <x:c r="D48" s="25"/>
      <x:c r="E48" s="27"/>
      <x:c r="F48" s="13"/>
      <x:c r="G48" s="13"/>
      <x:c r="H48" s="23"/>
      <x:c r="I48" s="23"/>
      <x:c r="J48" s="17" t="str">
        <x:f>IF(A48="","",IF('Auxiliar'!B8&lt;&gt;"OK","Conferir Auxiliar",IF(A48="","",IF(K48&lt;&gt;"OK","Conferir cadastro",IF(G48&lt;&gt;"",IF(AND(ISNUMBER(G48),G48&gt;0,G48&lt;='Auxiliar'!$B$5),"Pago","Conferir data"),IF(F48&lt;'Auxiliar'!$B$5,"Vencido",IF(F48='Auxiliar'!$B$5,"Vence hoje","A vencer")))))))</x:f>
      </x:c>
      <x:c r="K48" s="17" t="str">
        <x:f>IF(COUNTA(A48:I48)=0,"",IF(A48="","Informe ID",IF(COUNTIFS($A$7:$A$56,A48)&gt;1,"Duplicado",IF(COUNTIFS('Contratos'!$A$7:$A$56,B48)&lt;&gt;1,"Sem cadastro único",IF(OR(C48="",NOT(ISNUMBER(D48)),D48&lt;=0,NOT(ISNUMBER(E48)),E48&lt;0,NOT(ISNUMBER(F48)),F48&lt;=0,AND(H48&lt;&gt;"Completa",H48&lt;&gt;"Pendente")),"Incompleto",IF(AND(G48&lt;&gt;"",OR(NOT(ISNUMBER(G48)),G48&lt;=0,G48&gt;'Auxiliar'!$B$5)),"Conferir data","OK"))))))</x:f>
      </x:c>
    </x:row>
    <x:row r="49" ht="40" customHeight="1">
      <x:c r="A49" s="23"/>
      <x:c r="B49" s="23"/>
      <x:c r="C49" s="24"/>
      <x:c r="D49" s="25"/>
      <x:c r="E49" s="27"/>
      <x:c r="F49" s="13"/>
      <x:c r="G49" s="13"/>
      <x:c r="H49" s="23"/>
      <x:c r="I49" s="23"/>
      <x:c r="J49" s="17" t="str">
        <x:f>IF(A49="","",IF('Auxiliar'!B8&lt;&gt;"OK","Conferir Auxiliar",IF(A49="","",IF(K49&lt;&gt;"OK","Conferir cadastro",IF(G49&lt;&gt;"",IF(AND(ISNUMBER(G49),G49&gt;0,G49&lt;='Auxiliar'!$B$5),"Pago","Conferir data"),IF(F49&lt;'Auxiliar'!$B$5,"Vencido",IF(F49='Auxiliar'!$B$5,"Vence hoje","A vencer")))))))</x:f>
      </x:c>
      <x:c r="K49" s="17" t="str">
        <x:f>IF(COUNTA(A49:I49)=0,"",IF(A49="","Informe ID",IF(COUNTIFS($A$7:$A$56,A49)&gt;1,"Duplicado",IF(COUNTIFS('Contratos'!$A$7:$A$56,B49)&lt;&gt;1,"Sem cadastro único",IF(OR(C49="",NOT(ISNUMBER(D49)),D49&lt;=0,NOT(ISNUMBER(E49)),E49&lt;0,NOT(ISNUMBER(F49)),F49&lt;=0,AND(H49&lt;&gt;"Completa",H49&lt;&gt;"Pendente")),"Incompleto",IF(AND(G49&lt;&gt;"",OR(NOT(ISNUMBER(G49)),G49&lt;=0,G49&gt;'Auxiliar'!$B$5)),"Conferir data","OK"))))))</x:f>
      </x:c>
    </x:row>
    <x:row r="50" ht="40" customHeight="1">
      <x:c r="A50" s="23"/>
      <x:c r="B50" s="23"/>
      <x:c r="C50" s="24"/>
      <x:c r="D50" s="25"/>
      <x:c r="E50" s="27"/>
      <x:c r="F50" s="13"/>
      <x:c r="G50" s="13"/>
      <x:c r="H50" s="23"/>
      <x:c r="I50" s="23"/>
      <x:c r="J50" s="17" t="str">
        <x:f>IF(A50="","",IF('Auxiliar'!B8&lt;&gt;"OK","Conferir Auxiliar",IF(A50="","",IF(K50&lt;&gt;"OK","Conferir cadastro",IF(G50&lt;&gt;"",IF(AND(ISNUMBER(G50),G50&gt;0,G50&lt;='Auxiliar'!$B$5),"Pago","Conferir data"),IF(F50&lt;'Auxiliar'!$B$5,"Vencido",IF(F50='Auxiliar'!$B$5,"Vence hoje","A vencer")))))))</x:f>
      </x:c>
      <x:c r="K50" s="17" t="str">
        <x:f>IF(COUNTA(A50:I50)=0,"",IF(A50="","Informe ID",IF(COUNTIFS($A$7:$A$56,A50)&gt;1,"Duplicado",IF(COUNTIFS('Contratos'!$A$7:$A$56,B50)&lt;&gt;1,"Sem cadastro único",IF(OR(C50="",NOT(ISNUMBER(D50)),D50&lt;=0,NOT(ISNUMBER(E50)),E50&lt;0,NOT(ISNUMBER(F50)),F50&lt;=0,AND(H50&lt;&gt;"Completa",H50&lt;&gt;"Pendente")),"Incompleto",IF(AND(G50&lt;&gt;"",OR(NOT(ISNUMBER(G50)),G50&lt;=0,G50&gt;'Auxiliar'!$B$5)),"Conferir data","OK"))))))</x:f>
      </x:c>
    </x:row>
    <x:row r="51" ht="40" customHeight="1">
      <x:c r="A51" s="23"/>
      <x:c r="B51" s="23"/>
      <x:c r="C51" s="24"/>
      <x:c r="D51" s="25"/>
      <x:c r="E51" s="27"/>
      <x:c r="F51" s="13"/>
      <x:c r="G51" s="13"/>
      <x:c r="H51" s="23"/>
      <x:c r="I51" s="23"/>
      <x:c r="J51" s="17" t="str">
        <x:f>IF(A51="","",IF('Auxiliar'!B8&lt;&gt;"OK","Conferir Auxiliar",IF(A51="","",IF(K51&lt;&gt;"OK","Conferir cadastro",IF(G51&lt;&gt;"",IF(AND(ISNUMBER(G51),G51&gt;0,G51&lt;='Auxiliar'!$B$5),"Pago","Conferir data"),IF(F51&lt;'Auxiliar'!$B$5,"Vencido",IF(F51='Auxiliar'!$B$5,"Vence hoje","A vencer")))))))</x:f>
      </x:c>
      <x:c r="K51" s="17" t="str">
        <x:f>IF(COUNTA(A51:I51)=0,"",IF(A51="","Informe ID",IF(COUNTIFS($A$7:$A$56,A51)&gt;1,"Duplicado",IF(COUNTIFS('Contratos'!$A$7:$A$56,B51)&lt;&gt;1,"Sem cadastro único",IF(OR(C51="",NOT(ISNUMBER(D51)),D51&lt;=0,NOT(ISNUMBER(E51)),E51&lt;0,NOT(ISNUMBER(F51)),F51&lt;=0,AND(H51&lt;&gt;"Completa",H51&lt;&gt;"Pendente")),"Incompleto",IF(AND(G51&lt;&gt;"",OR(NOT(ISNUMBER(G51)),G51&lt;=0,G51&gt;'Auxiliar'!$B$5)),"Conferir data","OK"))))))</x:f>
      </x:c>
    </x:row>
    <x:row r="52" ht="40" customHeight="1">
      <x:c r="A52" s="23"/>
      <x:c r="B52" s="23"/>
      <x:c r="C52" s="24"/>
      <x:c r="D52" s="25"/>
      <x:c r="E52" s="27"/>
      <x:c r="F52" s="13"/>
      <x:c r="G52" s="13"/>
      <x:c r="H52" s="23"/>
      <x:c r="I52" s="23"/>
      <x:c r="J52" s="17" t="str">
        <x:f>IF(A52="","",IF('Auxiliar'!B8&lt;&gt;"OK","Conferir Auxiliar",IF(A52="","",IF(K52&lt;&gt;"OK","Conferir cadastro",IF(G52&lt;&gt;"",IF(AND(ISNUMBER(G52),G52&gt;0,G52&lt;='Auxiliar'!$B$5),"Pago","Conferir data"),IF(F52&lt;'Auxiliar'!$B$5,"Vencido",IF(F52='Auxiliar'!$B$5,"Vence hoje","A vencer")))))))</x:f>
      </x:c>
      <x:c r="K52" s="17" t="str">
        <x:f>IF(COUNTA(A52:I52)=0,"",IF(A52="","Informe ID",IF(COUNTIFS($A$7:$A$56,A52)&gt;1,"Duplicado",IF(COUNTIFS('Contratos'!$A$7:$A$56,B52)&lt;&gt;1,"Sem cadastro único",IF(OR(C52="",NOT(ISNUMBER(D52)),D52&lt;=0,NOT(ISNUMBER(E52)),E52&lt;0,NOT(ISNUMBER(F52)),F52&lt;=0,AND(H52&lt;&gt;"Completa",H52&lt;&gt;"Pendente")),"Incompleto",IF(AND(G52&lt;&gt;"",OR(NOT(ISNUMBER(G52)),G52&lt;=0,G52&gt;'Auxiliar'!$B$5)),"Conferir data","OK"))))))</x:f>
      </x:c>
    </x:row>
    <x:row r="53" ht="40" customHeight="1">
      <x:c r="A53" s="23"/>
      <x:c r="B53" s="23"/>
      <x:c r="C53" s="24"/>
      <x:c r="D53" s="25"/>
      <x:c r="E53" s="27"/>
      <x:c r="F53" s="13"/>
      <x:c r="G53" s="13"/>
      <x:c r="H53" s="23"/>
      <x:c r="I53" s="23"/>
      <x:c r="J53" s="17" t="str">
        <x:f>IF(A53="","",IF('Auxiliar'!B8&lt;&gt;"OK","Conferir Auxiliar",IF(A53="","",IF(K53&lt;&gt;"OK","Conferir cadastro",IF(G53&lt;&gt;"",IF(AND(ISNUMBER(G53),G53&gt;0,G53&lt;='Auxiliar'!$B$5),"Pago","Conferir data"),IF(F53&lt;'Auxiliar'!$B$5,"Vencido",IF(F53='Auxiliar'!$B$5,"Vence hoje","A vencer")))))))</x:f>
      </x:c>
      <x:c r="K53" s="17" t="str">
        <x:f>IF(COUNTA(A53:I53)=0,"",IF(A53="","Informe ID",IF(COUNTIFS($A$7:$A$56,A53)&gt;1,"Duplicado",IF(COUNTIFS('Contratos'!$A$7:$A$56,B53)&lt;&gt;1,"Sem cadastro único",IF(OR(C53="",NOT(ISNUMBER(D53)),D53&lt;=0,NOT(ISNUMBER(E53)),E53&lt;0,NOT(ISNUMBER(F53)),F53&lt;=0,AND(H53&lt;&gt;"Completa",H53&lt;&gt;"Pendente")),"Incompleto",IF(AND(G53&lt;&gt;"",OR(NOT(ISNUMBER(G53)),G53&lt;=0,G53&gt;'Auxiliar'!$B$5)),"Conferir data","OK"))))))</x:f>
      </x:c>
    </x:row>
    <x:row r="54" ht="40" customHeight="1">
      <x:c r="A54" s="23"/>
      <x:c r="B54" s="23"/>
      <x:c r="C54" s="24"/>
      <x:c r="D54" s="25"/>
      <x:c r="E54" s="27"/>
      <x:c r="F54" s="13"/>
      <x:c r="G54" s="13"/>
      <x:c r="H54" s="23"/>
      <x:c r="I54" s="23"/>
      <x:c r="J54" s="17" t="str">
        <x:f>IF(A54="","",IF('Auxiliar'!B8&lt;&gt;"OK","Conferir Auxiliar",IF(A54="","",IF(K54&lt;&gt;"OK","Conferir cadastro",IF(G54&lt;&gt;"",IF(AND(ISNUMBER(G54),G54&gt;0,G54&lt;='Auxiliar'!$B$5),"Pago","Conferir data"),IF(F54&lt;'Auxiliar'!$B$5,"Vencido",IF(F54='Auxiliar'!$B$5,"Vence hoje","A vencer")))))))</x:f>
      </x:c>
      <x:c r="K54" s="17" t="str">
        <x:f>IF(COUNTA(A54:I54)=0,"",IF(A54="","Informe ID",IF(COUNTIFS($A$7:$A$56,A54)&gt;1,"Duplicado",IF(COUNTIFS('Contratos'!$A$7:$A$56,B54)&lt;&gt;1,"Sem cadastro único",IF(OR(C54="",NOT(ISNUMBER(D54)),D54&lt;=0,NOT(ISNUMBER(E54)),E54&lt;0,NOT(ISNUMBER(F54)),F54&lt;=0,AND(H54&lt;&gt;"Completa",H54&lt;&gt;"Pendente")),"Incompleto",IF(AND(G54&lt;&gt;"",OR(NOT(ISNUMBER(G54)),G54&lt;=0,G54&gt;'Auxiliar'!$B$5)),"Conferir data","OK"))))))</x:f>
      </x:c>
    </x:row>
    <x:row r="55" ht="40" customHeight="1">
      <x:c r="A55" s="23"/>
      <x:c r="B55" s="23"/>
      <x:c r="C55" s="24"/>
      <x:c r="D55" s="25"/>
      <x:c r="E55" s="27"/>
      <x:c r="F55" s="13"/>
      <x:c r="G55" s="13"/>
      <x:c r="H55" s="23"/>
      <x:c r="I55" s="23"/>
      <x:c r="J55" s="17" t="str">
        <x:f>IF(A55="","",IF('Auxiliar'!B8&lt;&gt;"OK","Conferir Auxiliar",IF(A55="","",IF(K55&lt;&gt;"OK","Conferir cadastro",IF(G55&lt;&gt;"",IF(AND(ISNUMBER(G55),G55&gt;0,G55&lt;='Auxiliar'!$B$5),"Pago","Conferir data"),IF(F55&lt;'Auxiliar'!$B$5,"Vencido",IF(F55='Auxiliar'!$B$5,"Vence hoje","A vencer")))))))</x:f>
      </x:c>
      <x:c r="K55" s="17" t="str">
        <x:f>IF(COUNTA(A55:I55)=0,"",IF(A55="","Informe ID",IF(COUNTIFS($A$7:$A$56,A55)&gt;1,"Duplicado",IF(COUNTIFS('Contratos'!$A$7:$A$56,B55)&lt;&gt;1,"Sem cadastro único",IF(OR(C55="",NOT(ISNUMBER(D55)),D55&lt;=0,NOT(ISNUMBER(E55)),E55&lt;0,NOT(ISNUMBER(F55)),F55&lt;=0,AND(H55&lt;&gt;"Completa",H55&lt;&gt;"Pendente")),"Incompleto",IF(AND(G55&lt;&gt;"",OR(NOT(ISNUMBER(G55)),G55&lt;=0,G55&gt;'Auxiliar'!$B$5)),"Conferir data","OK"))))))</x:f>
      </x:c>
    </x:row>
    <x:row r="56" ht="40" customHeight="1">
      <x:c r="A56" s="23"/>
      <x:c r="B56" s="23"/>
      <x:c r="C56" s="24"/>
      <x:c r="D56" s="25"/>
      <x:c r="E56" s="27"/>
      <x:c r="F56" s="13"/>
      <x:c r="G56" s="13"/>
      <x:c r="H56" s="23"/>
      <x:c r="I56" s="23"/>
      <x:c r="J56" s="17" t="str">
        <x:f>IF(A56="","",IF('Auxiliar'!B8&lt;&gt;"OK","Conferir Auxiliar",IF(A56="","",IF(K56&lt;&gt;"OK","Conferir cadastro",IF(G56&lt;&gt;"",IF(AND(ISNUMBER(G56),G56&gt;0,G56&lt;='Auxiliar'!$B$5),"Pago","Conferir data"),IF(F56&lt;'Auxiliar'!$B$5,"Vencido",IF(F56='Auxiliar'!$B$5,"Vence hoje","A vencer")))))))</x:f>
      </x:c>
      <x:c r="K56" s="17" t="str">
        <x:f>IF(COUNTA(A56:I56)=0,"",IF(A56="","Informe ID",IF(COUNTIFS($A$7:$A$56,A56)&gt;1,"Duplicado",IF(COUNTIFS('Contratos'!$A$7:$A$56,B56)&lt;&gt;1,"Sem cadastro único",IF(OR(C56="",NOT(ISNUMBER(D56)),D56&lt;=0,NOT(ISNUMBER(E56)),E56&lt;0,NOT(ISNUMBER(F56)),F56&lt;=0,AND(H56&lt;&gt;"Completa",H56&lt;&gt;"Pendente")),"Incompleto",IF(AND(G56&lt;&gt;"",OR(NOT(ISNUMBER(G56)),G56&lt;=0,G56&gt;'Auxiliar'!$B$5)),"Conferir data","OK"))))))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</x:sheetData>
  <x:conditionalFormatting sqref="J7:K56">
    <x:cfRule type="containsText" dxfId="20" priority="1" operator="containsText" text="Vencido"/>
    <x:cfRule type="containsText" dxfId="21" priority="2" operator="containsText" text="Vence hoje"/>
    <x:cfRule type="containsText" dxfId="22" priority="3" operator="containsText" text="Revisar"/>
    <x:cfRule type="containsText" dxfId="23" priority="4" operator="containsText" text="Incompleto"/>
    <x:cfRule type="containsText" dxfId="24" priority="5" operator="containsText" text="Duplicado"/>
    <x:cfRule type="containsText" dxfId="25" priority="6" operator="containsText" text="Sem cadastro"/>
    <x:cfRule type="containsText" dxfId="26" priority="7" operator="containsText" text="Conferir"/>
    <x:cfRule type="containsText" dxfId="27" priority="8" operator="containsText" text="Aluguel indevido"/>
    <x:cfRule type="containsText" dxfId="28" priority="9" operator="containsText" text="Risco"/>
    <x:cfRule type="containsText" dxfId="29" priority="10" operator="containsText" text="Em até 30 dias"/>
  </x:conditionalFormatting>
  <x:conditionalFormatting sqref="K7:K56">
    <x:cfRule type="containsText" dxfId="61" priority="11" operator="containsText" text="Informe"/>
  </x:conditionalFormatting>
  <x:dataValidations count="4">
    <x:dataValidation type="list" sqref="H7:H56">
      <x:formula1>"Completa,Pendente"</x:formula1>
    </x:dataValidation>
    <x:dataValidation type="list" sqref="I7:I56">
      <x:formula1>"Em conferência,Encaminhado,Pago"</x:formula1>
    </x:dataValidation>
    <x:dataValidation type="list" sqref="B7:B56">
      <x:formula1>'Contratos'!$A$7:$A$56</x:formula1>
    </x:dataValidation>
    <x:dataValidation type="decimal" operator="between" sqref="E7:E56">
      <x:formula1>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73e7a0c1abe4b35"/>
  </x:tableParts>
</x:worksheet>
</file>

<file path=xl/worksheets/sheet4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2" hidden="0" customWidth="1"/>
    <x:col min="4" max="4" width="21" hidden="0" customWidth="1"/>
    <x:col min="5" max="5" width="22" hidden="0" customWidth="1"/>
    <x:col min="6" max="6" width="11" hidden="0" customWidth="1"/>
    <x:col min="7" max="7" width="23" hidden="0" customWidth="1"/>
    <x:col min="8" max="8" width="24" hidden="0" customWidth="1"/>
    <x:col min="9" max="9" width="24" hidden="0" customWidth="1"/>
    <x:col min="10" max="10" width="25" hidden="0" customWidth="1"/>
    <x:col min="11" max="11" width="25" hidden="0" customWidth="1"/>
  </x:cols>
  <x:sheetData>
    <x:row r="1" ht="28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5" customHeight="1">
      <x:c r="A2" s="5" t="str">
        <x:v>Previsoes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8" customHeight="1">
      <x:c r="A3" s="4" t="str">
        <x:v>Saldo atual menos valor mensal × meses. Serviço e material são analisados separadamente.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8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2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46" customHeight="1">
      <x:c r="A6" s="22" t="str">
        <x:v>Contrato</x:v>
      </x:c>
      <x:c r="B6" s="22" t="str">
        <x:v>Saldo serviço (R$)</x:v>
      </x:c>
      <x:c r="C6" s="22" t="str">
        <x:v>Mensal serviço (R$)</x:v>
      </x:c>
      <x:c r="D6" s="22" t="str">
        <x:v>Saldo material (R$)</x:v>
      </x:c>
      <x:c r="E6" s="22" t="str">
        <x:v>Mensal material (R$)</x:v>
      </x:c>
      <x:c r="F6" s="22" t="str">
        <x:v>Meses</x:v>
      </x:c>
      <x:c r="G6" s="22" t="str">
        <x:v>Projetado serviço (R$)</x:v>
      </x:c>
      <x:c r="H6" s="22" t="str">
        <x:v>Projetado material (R$)</x:v>
      </x:c>
      <x:c r="I6" s="22" t="str">
        <x:v>Situação serviço</x:v>
      </x:c>
      <x:c r="J6" s="22" t="str">
        <x:v>Situação material</x:v>
      </x:c>
      <x:c r="K6" s="22" t="str">
        <x:v>Cadastro</x:v>
      </x:c>
    </x:row>
    <x:row r="7" ht="40" customHeight="1">
      <x:c r="A7" s="23"/>
      <x:c r="B7" s="27"/>
      <x:c r="C7" s="27"/>
      <x:c r="D7" s="27"/>
      <x:c r="E7" s="27"/>
      <x:c r="F7" s="17" t="str">
        <x:f>IF(A7="","",'Auxiliar'!$B$7)</x:f>
      </x:c>
      <x:c r="G7" s="31" t="str">
        <x:f>IF(A7="","",IF(OR(K7&lt;&gt;"OK",NOT(ISNUMBER(B7)),NOT(ISNUMBER(C7))),"",ROUND(B7-C7*F7,2)))</x:f>
      </x:c>
      <x:c r="H7" s="31" t="str">
        <x:f>IF(A7="","",IF(OR(K7&lt;&gt;"OK",NOT(ISNUMBER(D7)),NOT(ISNUMBER(E7))),"",ROUND(D7-E7*F7,2)))</x:f>
      </x:c>
      <x:c r="I7" s="17" t="str">
        <x:f>IF(A7="","",IF(K7&lt;&gt;"OK","Conferir cadastro",IF(OR(NOT(ISNUMBER(B7)),NOT(ISNUMBER(C7))),"Incompleto",IF(G7&lt;0,"Risco","Saldo suficiente"))))</x:f>
      </x:c>
      <x:c r="J7" s="17" t="str">
        <x:f>IF(A7="","",IF(K7&lt;&gt;"OK","Conferir cadastro",IF(OR(NOT(ISNUMBER(D7)),NOT(ISNUMBER(E7))),"Incompleto",IF(H7&lt;0,"Risco","Saldo suficiente"))))</x:f>
      </x:c>
      <x:c r="K7" s="17" t="str">
        <x:f>IF(COUNTA(A7:E7)=0,"",IF(A7="","Informe ID",IF(COUNTIFS($A$7:$A$56,A7)&gt;1,"Duplicado",IF(COUNTIFS('Contratos'!$A$7:$A$56,A7)&lt;&gt;1,"Sem cadastro único",IF(OR(NOT(ISNUMBER(F7)),F7&lt;1,F7&gt;24,F7&lt;&gt;INT(F7),B7&lt;0,C7&lt;0,D7&lt;0,E7&lt;0),"Revisar valores","OK")))))</x:f>
      </x:c>
    </x:row>
    <x:row r="8" ht="40" customHeight="1">
      <x:c r="A8" s="23"/>
      <x:c r="B8" s="27"/>
      <x:c r="C8" s="27"/>
      <x:c r="D8" s="27"/>
      <x:c r="E8" s="27"/>
      <x:c r="F8" s="17" t="str">
        <x:f>IF(A8="","",'Auxiliar'!$B$7)</x:f>
      </x:c>
      <x:c r="G8" s="31" t="str">
        <x:f>IF(A8="","",IF(OR(K8&lt;&gt;"OK",NOT(ISNUMBER(B8)),NOT(ISNUMBER(C8))),"",ROUND(B8-C8*F8,2)))</x:f>
      </x:c>
      <x:c r="H8" s="31" t="str">
        <x:f>IF(A8="","",IF(OR(K8&lt;&gt;"OK",NOT(ISNUMBER(D8)),NOT(ISNUMBER(E8))),"",ROUND(D8-E8*F8,2)))</x:f>
      </x:c>
      <x:c r="I8" s="17" t="str">
        <x:f>IF(A8="","",IF(K8&lt;&gt;"OK","Conferir cadastro",IF(OR(NOT(ISNUMBER(B8)),NOT(ISNUMBER(C8))),"Incompleto",IF(G8&lt;0,"Risco","Saldo suficiente"))))</x:f>
      </x:c>
      <x:c r="J8" s="17" t="str">
        <x:f>IF(A8="","",IF(K8&lt;&gt;"OK","Conferir cadastro",IF(OR(NOT(ISNUMBER(D8)),NOT(ISNUMBER(E8))),"Incompleto",IF(H8&lt;0,"Risco","Saldo suficiente"))))</x:f>
      </x:c>
      <x:c r="K8" s="17" t="str">
        <x:f>IF(COUNTA(A8:E8)=0,"",IF(A8="","Informe ID",IF(COUNTIFS($A$7:$A$56,A8)&gt;1,"Duplicado",IF(COUNTIFS('Contratos'!$A$7:$A$56,A8)&lt;&gt;1,"Sem cadastro único",IF(OR(NOT(ISNUMBER(F8)),F8&lt;1,F8&gt;24,F8&lt;&gt;INT(F8),B8&lt;0,C8&lt;0,D8&lt;0,E8&lt;0),"Revisar valores","OK")))))</x:f>
      </x:c>
    </x:row>
    <x:row r="9" ht="40" customHeight="1">
      <x:c r="A9" s="23"/>
      <x:c r="B9" s="27"/>
      <x:c r="C9" s="27"/>
      <x:c r="D9" s="27"/>
      <x:c r="E9" s="27"/>
      <x:c r="F9" s="17" t="str">
        <x:f>IF(A9="","",'Auxiliar'!$B$7)</x:f>
      </x:c>
      <x:c r="G9" s="31" t="str">
        <x:f>IF(A9="","",IF(OR(K9&lt;&gt;"OK",NOT(ISNUMBER(B9)),NOT(ISNUMBER(C9))),"",ROUND(B9-C9*F9,2)))</x:f>
      </x:c>
      <x:c r="H9" s="31" t="str">
        <x:f>IF(A9="","",IF(OR(K9&lt;&gt;"OK",NOT(ISNUMBER(D9)),NOT(ISNUMBER(E9))),"",ROUND(D9-E9*F9,2)))</x:f>
      </x:c>
      <x:c r="I9" s="17" t="str">
        <x:f>IF(A9="","",IF(K9&lt;&gt;"OK","Conferir cadastro",IF(OR(NOT(ISNUMBER(B9)),NOT(ISNUMBER(C9))),"Incompleto",IF(G9&lt;0,"Risco","Saldo suficiente"))))</x:f>
      </x:c>
      <x:c r="J9" s="17" t="str">
        <x:f>IF(A9="","",IF(K9&lt;&gt;"OK","Conferir cadastro",IF(OR(NOT(ISNUMBER(D9)),NOT(ISNUMBER(E9))),"Incompleto",IF(H9&lt;0,"Risco","Saldo suficiente"))))</x:f>
      </x:c>
      <x:c r="K9" s="17" t="str">
        <x:f>IF(COUNTA(A9:E9)=0,"",IF(A9="","Informe ID",IF(COUNTIFS($A$7:$A$56,A9)&gt;1,"Duplicado",IF(COUNTIFS('Contratos'!$A$7:$A$56,A9)&lt;&gt;1,"Sem cadastro único",IF(OR(NOT(ISNUMBER(F9)),F9&lt;1,F9&gt;24,F9&lt;&gt;INT(F9),B9&lt;0,C9&lt;0,D9&lt;0,E9&lt;0),"Revisar valores","OK")))))</x:f>
      </x:c>
    </x:row>
    <x:row r="10" ht="40" customHeight="1">
      <x:c r="A10" s="23"/>
      <x:c r="B10" s="27"/>
      <x:c r="C10" s="27"/>
      <x:c r="D10" s="27"/>
      <x:c r="E10" s="27"/>
      <x:c r="F10" s="17" t="str">
        <x:f>IF(A10="","",'Auxiliar'!$B$7)</x:f>
      </x:c>
      <x:c r="G10" s="31" t="str">
        <x:f>IF(A10="","",IF(OR(K10&lt;&gt;"OK",NOT(ISNUMBER(B10)),NOT(ISNUMBER(C10))),"",ROUND(B10-C10*F10,2)))</x:f>
      </x:c>
      <x:c r="H10" s="31" t="str">
        <x:f>IF(A10="","",IF(OR(K10&lt;&gt;"OK",NOT(ISNUMBER(D10)),NOT(ISNUMBER(E10))),"",ROUND(D10-E10*F10,2)))</x:f>
      </x:c>
      <x:c r="I10" s="17" t="str">
        <x:f>IF(A10="","",IF(K10&lt;&gt;"OK","Conferir cadastro",IF(OR(NOT(ISNUMBER(B10)),NOT(ISNUMBER(C10))),"Incompleto",IF(G10&lt;0,"Risco","Saldo suficiente"))))</x:f>
      </x:c>
      <x:c r="J10" s="17" t="str">
        <x:f>IF(A10="","",IF(K10&lt;&gt;"OK","Conferir cadastro",IF(OR(NOT(ISNUMBER(D10)),NOT(ISNUMBER(E10))),"Incompleto",IF(H10&lt;0,"Risco","Saldo suficiente"))))</x:f>
      </x:c>
      <x:c r="K10" s="17" t="str">
        <x:f>IF(COUNTA(A10:E10)=0,"",IF(A10="","Informe ID",IF(COUNTIFS($A$7:$A$56,A10)&gt;1,"Duplicado",IF(COUNTIFS('Contratos'!$A$7:$A$56,A10)&lt;&gt;1,"Sem cadastro único",IF(OR(NOT(ISNUMBER(F10)),F10&lt;1,F10&gt;24,F10&lt;&gt;INT(F10),B10&lt;0,C10&lt;0,D10&lt;0,E10&lt;0),"Revisar valores","OK")))))</x:f>
      </x:c>
    </x:row>
    <x:row r="11" ht="40" customHeight="1">
      <x:c r="A11" s="23"/>
      <x:c r="B11" s="27"/>
      <x:c r="C11" s="27"/>
      <x:c r="D11" s="27"/>
      <x:c r="E11" s="27"/>
      <x:c r="F11" s="17" t="str">
        <x:f>IF(A11="","",'Auxiliar'!$B$7)</x:f>
      </x:c>
      <x:c r="G11" s="31" t="str">
        <x:f>IF(A11="","",IF(OR(K11&lt;&gt;"OK",NOT(ISNUMBER(B11)),NOT(ISNUMBER(C11))),"",ROUND(B11-C11*F11,2)))</x:f>
      </x:c>
      <x:c r="H11" s="31" t="str">
        <x:f>IF(A11="","",IF(OR(K11&lt;&gt;"OK",NOT(ISNUMBER(D11)),NOT(ISNUMBER(E11))),"",ROUND(D11-E11*F11,2)))</x:f>
      </x:c>
      <x:c r="I11" s="17" t="str">
        <x:f>IF(A11="","",IF(K11&lt;&gt;"OK","Conferir cadastro",IF(OR(NOT(ISNUMBER(B11)),NOT(ISNUMBER(C11))),"Incompleto",IF(G11&lt;0,"Risco","Saldo suficiente"))))</x:f>
      </x:c>
      <x:c r="J11" s="17" t="str">
        <x:f>IF(A11="","",IF(K11&lt;&gt;"OK","Conferir cadastro",IF(OR(NOT(ISNUMBER(D11)),NOT(ISNUMBER(E11))),"Incompleto",IF(H11&lt;0,"Risco","Saldo suficiente"))))</x:f>
      </x:c>
      <x:c r="K11" s="17" t="str">
        <x:f>IF(COUNTA(A11:E11)=0,"",IF(A11="","Informe ID",IF(COUNTIFS($A$7:$A$56,A11)&gt;1,"Duplicado",IF(COUNTIFS('Contratos'!$A$7:$A$56,A11)&lt;&gt;1,"Sem cadastro único",IF(OR(NOT(ISNUMBER(F11)),F11&lt;1,F11&gt;24,F11&lt;&gt;INT(F11),B11&lt;0,C11&lt;0,D11&lt;0,E11&lt;0),"Revisar valores","OK")))))</x:f>
      </x:c>
    </x:row>
    <x:row r="12" ht="40" customHeight="1">
      <x:c r="A12" s="23"/>
      <x:c r="B12" s="27"/>
      <x:c r="C12" s="27"/>
      <x:c r="D12" s="27"/>
      <x:c r="E12" s="27"/>
      <x:c r="F12" s="17" t="str">
        <x:f>IF(A12="","",'Auxiliar'!$B$7)</x:f>
      </x:c>
      <x:c r="G12" s="31" t="str">
        <x:f>IF(A12="","",IF(OR(K12&lt;&gt;"OK",NOT(ISNUMBER(B12)),NOT(ISNUMBER(C12))),"",ROUND(B12-C12*F12,2)))</x:f>
      </x:c>
      <x:c r="H12" s="31" t="str">
        <x:f>IF(A12="","",IF(OR(K12&lt;&gt;"OK",NOT(ISNUMBER(D12)),NOT(ISNUMBER(E12))),"",ROUND(D12-E12*F12,2)))</x:f>
      </x:c>
      <x:c r="I12" s="17" t="str">
        <x:f>IF(A12="","",IF(K12&lt;&gt;"OK","Conferir cadastro",IF(OR(NOT(ISNUMBER(B12)),NOT(ISNUMBER(C12))),"Incompleto",IF(G12&lt;0,"Risco","Saldo suficiente"))))</x:f>
      </x:c>
      <x:c r="J12" s="17" t="str">
        <x:f>IF(A12="","",IF(K12&lt;&gt;"OK","Conferir cadastro",IF(OR(NOT(ISNUMBER(D12)),NOT(ISNUMBER(E12))),"Incompleto",IF(H12&lt;0,"Risco","Saldo suficiente"))))</x:f>
      </x:c>
      <x:c r="K12" s="17" t="str">
        <x:f>IF(COUNTA(A12:E12)=0,"",IF(A12="","Informe ID",IF(COUNTIFS($A$7:$A$56,A12)&gt;1,"Duplicado",IF(COUNTIFS('Contratos'!$A$7:$A$56,A12)&lt;&gt;1,"Sem cadastro único",IF(OR(NOT(ISNUMBER(F12)),F12&lt;1,F12&gt;24,F12&lt;&gt;INT(F12),B12&lt;0,C12&lt;0,D12&lt;0,E12&lt;0),"Revisar valores","OK")))))</x:f>
      </x:c>
    </x:row>
    <x:row r="13" ht="40" customHeight="1">
      <x:c r="A13" s="23"/>
      <x:c r="B13" s="27"/>
      <x:c r="C13" s="27"/>
      <x:c r="D13" s="27"/>
      <x:c r="E13" s="27"/>
      <x:c r="F13" s="17" t="str">
        <x:f>IF(A13="","",'Auxiliar'!$B$7)</x:f>
      </x:c>
      <x:c r="G13" s="31" t="str">
        <x:f>IF(A13="","",IF(OR(K13&lt;&gt;"OK",NOT(ISNUMBER(B13)),NOT(ISNUMBER(C13))),"",ROUND(B13-C13*F13,2)))</x:f>
      </x:c>
      <x:c r="H13" s="31" t="str">
        <x:f>IF(A13="","",IF(OR(K13&lt;&gt;"OK",NOT(ISNUMBER(D13)),NOT(ISNUMBER(E13))),"",ROUND(D13-E13*F13,2)))</x:f>
      </x:c>
      <x:c r="I13" s="17" t="str">
        <x:f>IF(A13="","",IF(K13&lt;&gt;"OK","Conferir cadastro",IF(OR(NOT(ISNUMBER(B13)),NOT(ISNUMBER(C13))),"Incompleto",IF(G13&lt;0,"Risco","Saldo suficiente"))))</x:f>
      </x:c>
      <x:c r="J13" s="17" t="str">
        <x:f>IF(A13="","",IF(K13&lt;&gt;"OK","Conferir cadastro",IF(OR(NOT(ISNUMBER(D13)),NOT(ISNUMBER(E13))),"Incompleto",IF(H13&lt;0,"Risco","Saldo suficiente"))))</x:f>
      </x:c>
      <x:c r="K13" s="17" t="str">
        <x:f>IF(COUNTA(A13:E13)=0,"",IF(A13="","Informe ID",IF(COUNTIFS($A$7:$A$56,A13)&gt;1,"Duplicado",IF(COUNTIFS('Contratos'!$A$7:$A$56,A13)&lt;&gt;1,"Sem cadastro único",IF(OR(NOT(ISNUMBER(F13)),F13&lt;1,F13&gt;24,F13&lt;&gt;INT(F13),B13&lt;0,C13&lt;0,D13&lt;0,E13&lt;0),"Revisar valores","OK")))))</x:f>
      </x:c>
    </x:row>
    <x:row r="14" ht="40" customHeight="1">
      <x:c r="A14" s="23"/>
      <x:c r="B14" s="27"/>
      <x:c r="C14" s="27"/>
      <x:c r="D14" s="27"/>
      <x:c r="E14" s="27"/>
      <x:c r="F14" s="17" t="str">
        <x:f>IF(A14="","",'Auxiliar'!$B$7)</x:f>
      </x:c>
      <x:c r="G14" s="31" t="str">
        <x:f>IF(A14="","",IF(OR(K14&lt;&gt;"OK",NOT(ISNUMBER(B14)),NOT(ISNUMBER(C14))),"",ROUND(B14-C14*F14,2)))</x:f>
      </x:c>
      <x:c r="H14" s="31" t="str">
        <x:f>IF(A14="","",IF(OR(K14&lt;&gt;"OK",NOT(ISNUMBER(D14)),NOT(ISNUMBER(E14))),"",ROUND(D14-E14*F14,2)))</x:f>
      </x:c>
      <x:c r="I14" s="17" t="str">
        <x:f>IF(A14="","",IF(K14&lt;&gt;"OK","Conferir cadastro",IF(OR(NOT(ISNUMBER(B14)),NOT(ISNUMBER(C14))),"Incompleto",IF(G14&lt;0,"Risco","Saldo suficiente"))))</x:f>
      </x:c>
      <x:c r="J14" s="17" t="str">
        <x:f>IF(A14="","",IF(K14&lt;&gt;"OK","Conferir cadastro",IF(OR(NOT(ISNUMBER(D14)),NOT(ISNUMBER(E14))),"Incompleto",IF(H14&lt;0,"Risco","Saldo suficiente"))))</x:f>
      </x:c>
      <x:c r="K14" s="17" t="str">
        <x:f>IF(COUNTA(A14:E14)=0,"",IF(A14="","Informe ID",IF(COUNTIFS($A$7:$A$56,A14)&gt;1,"Duplicado",IF(COUNTIFS('Contratos'!$A$7:$A$56,A14)&lt;&gt;1,"Sem cadastro único",IF(OR(NOT(ISNUMBER(F14)),F14&lt;1,F14&gt;24,F14&lt;&gt;INT(F14),B14&lt;0,C14&lt;0,D14&lt;0,E14&lt;0),"Revisar valores","OK")))))</x:f>
      </x:c>
    </x:row>
    <x:row r="15" ht="40" customHeight="1">
      <x:c r="A15" s="23"/>
      <x:c r="B15" s="27"/>
      <x:c r="C15" s="27"/>
      <x:c r="D15" s="27"/>
      <x:c r="E15" s="27"/>
      <x:c r="F15" s="17" t="str">
        <x:f>IF(A15="","",'Auxiliar'!$B$7)</x:f>
      </x:c>
      <x:c r="G15" s="31" t="str">
        <x:f>IF(A15="","",IF(OR(K15&lt;&gt;"OK",NOT(ISNUMBER(B15)),NOT(ISNUMBER(C15))),"",ROUND(B15-C15*F15,2)))</x:f>
      </x:c>
      <x:c r="H15" s="31" t="str">
        <x:f>IF(A15="","",IF(OR(K15&lt;&gt;"OK",NOT(ISNUMBER(D15)),NOT(ISNUMBER(E15))),"",ROUND(D15-E15*F15,2)))</x:f>
      </x:c>
      <x:c r="I15" s="17" t="str">
        <x:f>IF(A15="","",IF(K15&lt;&gt;"OK","Conferir cadastro",IF(OR(NOT(ISNUMBER(B15)),NOT(ISNUMBER(C15))),"Incompleto",IF(G15&lt;0,"Risco","Saldo suficiente"))))</x:f>
      </x:c>
      <x:c r="J15" s="17" t="str">
        <x:f>IF(A15="","",IF(K15&lt;&gt;"OK","Conferir cadastro",IF(OR(NOT(ISNUMBER(D15)),NOT(ISNUMBER(E15))),"Incompleto",IF(H15&lt;0,"Risco","Saldo suficiente"))))</x:f>
      </x:c>
      <x:c r="K15" s="17" t="str">
        <x:f>IF(COUNTA(A15:E15)=0,"",IF(A15="","Informe ID",IF(COUNTIFS($A$7:$A$56,A15)&gt;1,"Duplicado",IF(COUNTIFS('Contratos'!$A$7:$A$56,A15)&lt;&gt;1,"Sem cadastro único",IF(OR(NOT(ISNUMBER(F15)),F15&lt;1,F15&gt;24,F15&lt;&gt;INT(F15),B15&lt;0,C15&lt;0,D15&lt;0,E15&lt;0),"Revisar valores","OK")))))</x:f>
      </x:c>
    </x:row>
    <x:row r="16" ht="40" customHeight="1">
      <x:c r="A16" s="23"/>
      <x:c r="B16" s="27"/>
      <x:c r="C16" s="27"/>
      <x:c r="D16" s="27"/>
      <x:c r="E16" s="27"/>
      <x:c r="F16" s="17" t="str">
        <x:f>IF(A16="","",'Auxiliar'!$B$7)</x:f>
      </x:c>
      <x:c r="G16" s="31" t="str">
        <x:f>IF(A16="","",IF(OR(K16&lt;&gt;"OK",NOT(ISNUMBER(B16)),NOT(ISNUMBER(C16))),"",ROUND(B16-C16*F16,2)))</x:f>
      </x:c>
      <x:c r="H16" s="31" t="str">
        <x:f>IF(A16="","",IF(OR(K16&lt;&gt;"OK",NOT(ISNUMBER(D16)),NOT(ISNUMBER(E16))),"",ROUND(D16-E16*F16,2)))</x:f>
      </x:c>
      <x:c r="I16" s="17" t="str">
        <x:f>IF(A16="","",IF(K16&lt;&gt;"OK","Conferir cadastro",IF(OR(NOT(ISNUMBER(B16)),NOT(ISNUMBER(C16))),"Incompleto",IF(G16&lt;0,"Risco","Saldo suficiente"))))</x:f>
      </x:c>
      <x:c r="J16" s="17" t="str">
        <x:f>IF(A16="","",IF(K16&lt;&gt;"OK","Conferir cadastro",IF(OR(NOT(ISNUMBER(D16)),NOT(ISNUMBER(E16))),"Incompleto",IF(H16&lt;0,"Risco","Saldo suficiente"))))</x:f>
      </x:c>
      <x:c r="K16" s="17" t="str">
        <x:f>IF(COUNTA(A16:E16)=0,"",IF(A16="","Informe ID",IF(COUNTIFS($A$7:$A$56,A16)&gt;1,"Duplicado",IF(COUNTIFS('Contratos'!$A$7:$A$56,A16)&lt;&gt;1,"Sem cadastro único",IF(OR(NOT(ISNUMBER(F16)),F16&lt;1,F16&gt;24,F16&lt;&gt;INT(F16),B16&lt;0,C16&lt;0,D16&lt;0,E16&lt;0),"Revisar valores","OK")))))</x:f>
      </x:c>
    </x:row>
    <x:row r="17" ht="40" customHeight="1">
      <x:c r="A17" s="23"/>
      <x:c r="B17" s="27"/>
      <x:c r="C17" s="27"/>
      <x:c r="D17" s="27"/>
      <x:c r="E17" s="27"/>
      <x:c r="F17" s="17" t="str">
        <x:f>IF(A17="","",'Auxiliar'!$B$7)</x:f>
      </x:c>
      <x:c r="G17" s="31" t="str">
        <x:f>IF(A17="","",IF(OR(K17&lt;&gt;"OK",NOT(ISNUMBER(B17)),NOT(ISNUMBER(C17))),"",ROUND(B17-C17*F17,2)))</x:f>
      </x:c>
      <x:c r="H17" s="31" t="str">
        <x:f>IF(A17="","",IF(OR(K17&lt;&gt;"OK",NOT(ISNUMBER(D17)),NOT(ISNUMBER(E17))),"",ROUND(D17-E17*F17,2)))</x:f>
      </x:c>
      <x:c r="I17" s="17" t="str">
        <x:f>IF(A17="","",IF(K17&lt;&gt;"OK","Conferir cadastro",IF(OR(NOT(ISNUMBER(B17)),NOT(ISNUMBER(C17))),"Incompleto",IF(G17&lt;0,"Risco","Saldo suficiente"))))</x:f>
      </x:c>
      <x:c r="J17" s="17" t="str">
        <x:f>IF(A17="","",IF(K17&lt;&gt;"OK","Conferir cadastro",IF(OR(NOT(ISNUMBER(D17)),NOT(ISNUMBER(E17))),"Incompleto",IF(H17&lt;0,"Risco","Saldo suficiente"))))</x:f>
      </x:c>
      <x:c r="K17" s="17" t="str">
        <x:f>IF(COUNTA(A17:E17)=0,"",IF(A17="","Informe ID",IF(COUNTIFS($A$7:$A$56,A17)&gt;1,"Duplicado",IF(COUNTIFS('Contratos'!$A$7:$A$56,A17)&lt;&gt;1,"Sem cadastro único",IF(OR(NOT(ISNUMBER(F17)),F17&lt;1,F17&gt;24,F17&lt;&gt;INT(F17),B17&lt;0,C17&lt;0,D17&lt;0,E17&lt;0),"Revisar valores","OK")))))</x:f>
      </x:c>
    </x:row>
    <x:row r="18" ht="40" customHeight="1">
      <x:c r="A18" s="23"/>
      <x:c r="B18" s="27"/>
      <x:c r="C18" s="27"/>
      <x:c r="D18" s="27"/>
      <x:c r="E18" s="27"/>
      <x:c r="F18" s="17" t="str">
        <x:f>IF(A18="","",'Auxiliar'!$B$7)</x:f>
      </x:c>
      <x:c r="G18" s="31" t="str">
        <x:f>IF(A18="","",IF(OR(K18&lt;&gt;"OK",NOT(ISNUMBER(B18)),NOT(ISNUMBER(C18))),"",ROUND(B18-C18*F18,2)))</x:f>
      </x:c>
      <x:c r="H18" s="31" t="str">
        <x:f>IF(A18="","",IF(OR(K18&lt;&gt;"OK",NOT(ISNUMBER(D18)),NOT(ISNUMBER(E18))),"",ROUND(D18-E18*F18,2)))</x:f>
      </x:c>
      <x:c r="I18" s="17" t="str">
        <x:f>IF(A18="","",IF(K18&lt;&gt;"OK","Conferir cadastro",IF(OR(NOT(ISNUMBER(B18)),NOT(ISNUMBER(C18))),"Incompleto",IF(G18&lt;0,"Risco","Saldo suficiente"))))</x:f>
      </x:c>
      <x:c r="J18" s="17" t="str">
        <x:f>IF(A18="","",IF(K18&lt;&gt;"OK","Conferir cadastro",IF(OR(NOT(ISNUMBER(D18)),NOT(ISNUMBER(E18))),"Incompleto",IF(H18&lt;0,"Risco","Saldo suficiente"))))</x:f>
      </x:c>
      <x:c r="K18" s="17" t="str">
        <x:f>IF(COUNTA(A18:E18)=0,"",IF(A18="","Informe ID",IF(COUNTIFS($A$7:$A$56,A18)&gt;1,"Duplicado",IF(COUNTIFS('Contratos'!$A$7:$A$56,A18)&lt;&gt;1,"Sem cadastro único",IF(OR(NOT(ISNUMBER(F18)),F18&lt;1,F18&gt;24,F18&lt;&gt;INT(F18),B18&lt;0,C18&lt;0,D18&lt;0,E18&lt;0),"Revisar valores","OK")))))</x:f>
      </x:c>
    </x:row>
    <x:row r="19" ht="40" customHeight="1">
      <x:c r="A19" s="23"/>
      <x:c r="B19" s="27"/>
      <x:c r="C19" s="27"/>
      <x:c r="D19" s="27"/>
      <x:c r="E19" s="27"/>
      <x:c r="F19" s="17" t="str">
        <x:f>IF(A19="","",'Auxiliar'!$B$7)</x:f>
      </x:c>
      <x:c r="G19" s="31" t="str">
        <x:f>IF(A19="","",IF(OR(K19&lt;&gt;"OK",NOT(ISNUMBER(B19)),NOT(ISNUMBER(C19))),"",ROUND(B19-C19*F19,2)))</x:f>
      </x:c>
      <x:c r="H19" s="31" t="str">
        <x:f>IF(A19="","",IF(OR(K19&lt;&gt;"OK",NOT(ISNUMBER(D19)),NOT(ISNUMBER(E19))),"",ROUND(D19-E19*F19,2)))</x:f>
      </x:c>
      <x:c r="I19" s="17" t="str">
        <x:f>IF(A19="","",IF(K19&lt;&gt;"OK","Conferir cadastro",IF(OR(NOT(ISNUMBER(B19)),NOT(ISNUMBER(C19))),"Incompleto",IF(G19&lt;0,"Risco","Saldo suficiente"))))</x:f>
      </x:c>
      <x:c r="J19" s="17" t="str">
        <x:f>IF(A19="","",IF(K19&lt;&gt;"OK","Conferir cadastro",IF(OR(NOT(ISNUMBER(D19)),NOT(ISNUMBER(E19))),"Incompleto",IF(H19&lt;0,"Risco","Saldo suficiente"))))</x:f>
      </x:c>
      <x:c r="K19" s="17" t="str">
        <x:f>IF(COUNTA(A19:E19)=0,"",IF(A19="","Informe ID",IF(COUNTIFS($A$7:$A$56,A19)&gt;1,"Duplicado",IF(COUNTIFS('Contratos'!$A$7:$A$56,A19)&lt;&gt;1,"Sem cadastro único",IF(OR(NOT(ISNUMBER(F19)),F19&lt;1,F19&gt;24,F19&lt;&gt;INT(F19),B19&lt;0,C19&lt;0,D19&lt;0,E19&lt;0),"Revisar valores","OK")))))</x:f>
      </x:c>
    </x:row>
    <x:row r="20" ht="40" customHeight="1">
      <x:c r="A20" s="23"/>
      <x:c r="B20" s="27"/>
      <x:c r="C20" s="27"/>
      <x:c r="D20" s="27"/>
      <x:c r="E20" s="27"/>
      <x:c r="F20" s="17" t="str">
        <x:f>IF(A20="","",'Auxiliar'!$B$7)</x:f>
      </x:c>
      <x:c r="G20" s="31" t="str">
        <x:f>IF(A20="","",IF(OR(K20&lt;&gt;"OK",NOT(ISNUMBER(B20)),NOT(ISNUMBER(C20))),"",ROUND(B20-C20*F20,2)))</x:f>
      </x:c>
      <x:c r="H20" s="31" t="str">
        <x:f>IF(A20="","",IF(OR(K20&lt;&gt;"OK",NOT(ISNUMBER(D20)),NOT(ISNUMBER(E20))),"",ROUND(D20-E20*F20,2)))</x:f>
      </x:c>
      <x:c r="I20" s="17" t="str">
        <x:f>IF(A20="","",IF(K20&lt;&gt;"OK","Conferir cadastro",IF(OR(NOT(ISNUMBER(B20)),NOT(ISNUMBER(C20))),"Incompleto",IF(G20&lt;0,"Risco","Saldo suficiente"))))</x:f>
      </x:c>
      <x:c r="J20" s="17" t="str">
        <x:f>IF(A20="","",IF(K20&lt;&gt;"OK","Conferir cadastro",IF(OR(NOT(ISNUMBER(D20)),NOT(ISNUMBER(E20))),"Incompleto",IF(H20&lt;0,"Risco","Saldo suficiente"))))</x:f>
      </x:c>
      <x:c r="K20" s="17" t="str">
        <x:f>IF(COUNTA(A20:E20)=0,"",IF(A20="","Informe ID",IF(COUNTIFS($A$7:$A$56,A20)&gt;1,"Duplicado",IF(COUNTIFS('Contratos'!$A$7:$A$56,A20)&lt;&gt;1,"Sem cadastro único",IF(OR(NOT(ISNUMBER(F20)),F20&lt;1,F20&gt;24,F20&lt;&gt;INT(F20),B20&lt;0,C20&lt;0,D20&lt;0,E20&lt;0),"Revisar valores","OK")))))</x:f>
      </x:c>
    </x:row>
    <x:row r="21" ht="40" customHeight="1">
      <x:c r="A21" s="23"/>
      <x:c r="B21" s="27"/>
      <x:c r="C21" s="27"/>
      <x:c r="D21" s="27"/>
      <x:c r="E21" s="27"/>
      <x:c r="F21" s="17" t="str">
        <x:f>IF(A21="","",'Auxiliar'!$B$7)</x:f>
      </x:c>
      <x:c r="G21" s="31" t="str">
        <x:f>IF(A21="","",IF(OR(K21&lt;&gt;"OK",NOT(ISNUMBER(B21)),NOT(ISNUMBER(C21))),"",ROUND(B21-C21*F21,2)))</x:f>
      </x:c>
      <x:c r="H21" s="31" t="str">
        <x:f>IF(A21="","",IF(OR(K21&lt;&gt;"OK",NOT(ISNUMBER(D21)),NOT(ISNUMBER(E21))),"",ROUND(D21-E21*F21,2)))</x:f>
      </x:c>
      <x:c r="I21" s="17" t="str">
        <x:f>IF(A21="","",IF(K21&lt;&gt;"OK","Conferir cadastro",IF(OR(NOT(ISNUMBER(B21)),NOT(ISNUMBER(C21))),"Incompleto",IF(G21&lt;0,"Risco","Saldo suficiente"))))</x:f>
      </x:c>
      <x:c r="J21" s="17" t="str">
        <x:f>IF(A21="","",IF(K21&lt;&gt;"OK","Conferir cadastro",IF(OR(NOT(ISNUMBER(D21)),NOT(ISNUMBER(E21))),"Incompleto",IF(H21&lt;0,"Risco","Saldo suficiente"))))</x:f>
      </x:c>
      <x:c r="K21" s="17" t="str">
        <x:f>IF(COUNTA(A21:E21)=0,"",IF(A21="","Informe ID",IF(COUNTIFS($A$7:$A$56,A21)&gt;1,"Duplicado",IF(COUNTIFS('Contratos'!$A$7:$A$56,A21)&lt;&gt;1,"Sem cadastro único",IF(OR(NOT(ISNUMBER(F21)),F21&lt;1,F21&gt;24,F21&lt;&gt;INT(F21),B21&lt;0,C21&lt;0,D21&lt;0,E21&lt;0),"Revisar valores","OK")))))</x:f>
      </x:c>
    </x:row>
    <x:row r="22" ht="40" customHeight="1">
      <x:c r="A22" s="23"/>
      <x:c r="B22" s="27"/>
      <x:c r="C22" s="27"/>
      <x:c r="D22" s="27"/>
      <x:c r="E22" s="27"/>
      <x:c r="F22" s="17" t="str">
        <x:f>IF(A22="","",'Auxiliar'!$B$7)</x:f>
      </x:c>
      <x:c r="G22" s="31" t="str">
        <x:f>IF(A22="","",IF(OR(K22&lt;&gt;"OK",NOT(ISNUMBER(B22)),NOT(ISNUMBER(C22))),"",ROUND(B22-C22*F22,2)))</x:f>
      </x:c>
      <x:c r="H22" s="31" t="str">
        <x:f>IF(A22="","",IF(OR(K22&lt;&gt;"OK",NOT(ISNUMBER(D22)),NOT(ISNUMBER(E22))),"",ROUND(D22-E22*F22,2)))</x:f>
      </x:c>
      <x:c r="I22" s="17" t="str">
        <x:f>IF(A22="","",IF(K22&lt;&gt;"OK","Conferir cadastro",IF(OR(NOT(ISNUMBER(B22)),NOT(ISNUMBER(C22))),"Incompleto",IF(G22&lt;0,"Risco","Saldo suficiente"))))</x:f>
      </x:c>
      <x:c r="J22" s="17" t="str">
        <x:f>IF(A22="","",IF(K22&lt;&gt;"OK","Conferir cadastro",IF(OR(NOT(ISNUMBER(D22)),NOT(ISNUMBER(E22))),"Incompleto",IF(H22&lt;0,"Risco","Saldo suficiente"))))</x:f>
      </x:c>
      <x:c r="K22" s="17" t="str">
        <x:f>IF(COUNTA(A22:E22)=0,"",IF(A22="","Informe ID",IF(COUNTIFS($A$7:$A$56,A22)&gt;1,"Duplicado",IF(COUNTIFS('Contratos'!$A$7:$A$56,A22)&lt;&gt;1,"Sem cadastro único",IF(OR(NOT(ISNUMBER(F22)),F22&lt;1,F22&gt;24,F22&lt;&gt;INT(F22),B22&lt;0,C22&lt;0,D22&lt;0,E22&lt;0),"Revisar valores","OK")))))</x:f>
      </x:c>
    </x:row>
    <x:row r="23" ht="40" customHeight="1">
      <x:c r="A23" s="23"/>
      <x:c r="B23" s="27"/>
      <x:c r="C23" s="27"/>
      <x:c r="D23" s="27"/>
      <x:c r="E23" s="27"/>
      <x:c r="F23" s="17" t="str">
        <x:f>IF(A23="","",'Auxiliar'!$B$7)</x:f>
      </x:c>
      <x:c r="G23" s="31" t="str">
        <x:f>IF(A23="","",IF(OR(K23&lt;&gt;"OK",NOT(ISNUMBER(B23)),NOT(ISNUMBER(C23))),"",ROUND(B23-C23*F23,2)))</x:f>
      </x:c>
      <x:c r="H23" s="31" t="str">
        <x:f>IF(A23="","",IF(OR(K23&lt;&gt;"OK",NOT(ISNUMBER(D23)),NOT(ISNUMBER(E23))),"",ROUND(D23-E23*F23,2)))</x:f>
      </x:c>
      <x:c r="I23" s="17" t="str">
        <x:f>IF(A23="","",IF(K23&lt;&gt;"OK","Conferir cadastro",IF(OR(NOT(ISNUMBER(B23)),NOT(ISNUMBER(C23))),"Incompleto",IF(G23&lt;0,"Risco","Saldo suficiente"))))</x:f>
      </x:c>
      <x:c r="J23" s="17" t="str">
        <x:f>IF(A23="","",IF(K23&lt;&gt;"OK","Conferir cadastro",IF(OR(NOT(ISNUMBER(D23)),NOT(ISNUMBER(E23))),"Incompleto",IF(H23&lt;0,"Risco","Saldo suficiente"))))</x:f>
      </x:c>
      <x:c r="K23" s="17" t="str">
        <x:f>IF(COUNTA(A23:E23)=0,"",IF(A23="","Informe ID",IF(COUNTIFS($A$7:$A$56,A23)&gt;1,"Duplicado",IF(COUNTIFS('Contratos'!$A$7:$A$56,A23)&lt;&gt;1,"Sem cadastro único",IF(OR(NOT(ISNUMBER(F23)),F23&lt;1,F23&gt;24,F23&lt;&gt;INT(F23),B23&lt;0,C23&lt;0,D23&lt;0,E23&lt;0),"Revisar valores","OK")))))</x:f>
      </x:c>
    </x:row>
    <x:row r="24" ht="40" customHeight="1">
      <x:c r="A24" s="23"/>
      <x:c r="B24" s="27"/>
      <x:c r="C24" s="27"/>
      <x:c r="D24" s="27"/>
      <x:c r="E24" s="27"/>
      <x:c r="F24" s="17" t="str">
        <x:f>IF(A24="","",'Auxiliar'!$B$7)</x:f>
      </x:c>
      <x:c r="G24" s="31" t="str">
        <x:f>IF(A24="","",IF(OR(K24&lt;&gt;"OK",NOT(ISNUMBER(B24)),NOT(ISNUMBER(C24))),"",ROUND(B24-C24*F24,2)))</x:f>
      </x:c>
      <x:c r="H24" s="31" t="str">
        <x:f>IF(A24="","",IF(OR(K24&lt;&gt;"OK",NOT(ISNUMBER(D24)),NOT(ISNUMBER(E24))),"",ROUND(D24-E24*F24,2)))</x:f>
      </x:c>
      <x:c r="I24" s="17" t="str">
        <x:f>IF(A24="","",IF(K24&lt;&gt;"OK","Conferir cadastro",IF(OR(NOT(ISNUMBER(B24)),NOT(ISNUMBER(C24))),"Incompleto",IF(G24&lt;0,"Risco","Saldo suficiente"))))</x:f>
      </x:c>
      <x:c r="J24" s="17" t="str">
        <x:f>IF(A24="","",IF(K24&lt;&gt;"OK","Conferir cadastro",IF(OR(NOT(ISNUMBER(D24)),NOT(ISNUMBER(E24))),"Incompleto",IF(H24&lt;0,"Risco","Saldo suficiente"))))</x:f>
      </x:c>
      <x:c r="K24" s="17" t="str">
        <x:f>IF(COUNTA(A24:E24)=0,"",IF(A24="","Informe ID",IF(COUNTIFS($A$7:$A$56,A24)&gt;1,"Duplicado",IF(COUNTIFS('Contratos'!$A$7:$A$56,A24)&lt;&gt;1,"Sem cadastro único",IF(OR(NOT(ISNUMBER(F24)),F24&lt;1,F24&gt;24,F24&lt;&gt;INT(F24),B24&lt;0,C24&lt;0,D24&lt;0,E24&lt;0),"Revisar valores","OK")))))</x:f>
      </x:c>
    </x:row>
    <x:row r="25" ht="40" customHeight="1">
      <x:c r="A25" s="23"/>
      <x:c r="B25" s="27"/>
      <x:c r="C25" s="27"/>
      <x:c r="D25" s="27"/>
      <x:c r="E25" s="27"/>
      <x:c r="F25" s="17" t="str">
        <x:f>IF(A25="","",'Auxiliar'!$B$7)</x:f>
      </x:c>
      <x:c r="G25" s="31" t="str">
        <x:f>IF(A25="","",IF(OR(K25&lt;&gt;"OK",NOT(ISNUMBER(B25)),NOT(ISNUMBER(C25))),"",ROUND(B25-C25*F25,2)))</x:f>
      </x:c>
      <x:c r="H25" s="31" t="str">
        <x:f>IF(A25="","",IF(OR(K25&lt;&gt;"OK",NOT(ISNUMBER(D25)),NOT(ISNUMBER(E25))),"",ROUND(D25-E25*F25,2)))</x:f>
      </x:c>
      <x:c r="I25" s="17" t="str">
        <x:f>IF(A25="","",IF(K25&lt;&gt;"OK","Conferir cadastro",IF(OR(NOT(ISNUMBER(B25)),NOT(ISNUMBER(C25))),"Incompleto",IF(G25&lt;0,"Risco","Saldo suficiente"))))</x:f>
      </x:c>
      <x:c r="J25" s="17" t="str">
        <x:f>IF(A25="","",IF(K25&lt;&gt;"OK","Conferir cadastro",IF(OR(NOT(ISNUMBER(D25)),NOT(ISNUMBER(E25))),"Incompleto",IF(H25&lt;0,"Risco","Saldo suficiente"))))</x:f>
      </x:c>
      <x:c r="K25" s="17" t="str">
        <x:f>IF(COUNTA(A25:E25)=0,"",IF(A25="","Informe ID",IF(COUNTIFS($A$7:$A$56,A25)&gt;1,"Duplicado",IF(COUNTIFS('Contratos'!$A$7:$A$56,A25)&lt;&gt;1,"Sem cadastro único",IF(OR(NOT(ISNUMBER(F25)),F25&lt;1,F25&gt;24,F25&lt;&gt;INT(F25),B25&lt;0,C25&lt;0,D25&lt;0,E25&lt;0),"Revisar valores","OK")))))</x:f>
      </x:c>
    </x:row>
    <x:row r="26" ht="40" customHeight="1">
      <x:c r="A26" s="23"/>
      <x:c r="B26" s="27"/>
      <x:c r="C26" s="27"/>
      <x:c r="D26" s="27"/>
      <x:c r="E26" s="27"/>
      <x:c r="F26" s="17" t="str">
        <x:f>IF(A26="","",'Auxiliar'!$B$7)</x:f>
      </x:c>
      <x:c r="G26" s="31" t="str">
        <x:f>IF(A26="","",IF(OR(K26&lt;&gt;"OK",NOT(ISNUMBER(B26)),NOT(ISNUMBER(C26))),"",ROUND(B26-C26*F26,2)))</x:f>
      </x:c>
      <x:c r="H26" s="31" t="str">
        <x:f>IF(A26="","",IF(OR(K26&lt;&gt;"OK",NOT(ISNUMBER(D26)),NOT(ISNUMBER(E26))),"",ROUND(D26-E26*F26,2)))</x:f>
      </x:c>
      <x:c r="I26" s="17" t="str">
        <x:f>IF(A26="","",IF(K26&lt;&gt;"OK","Conferir cadastro",IF(OR(NOT(ISNUMBER(B26)),NOT(ISNUMBER(C26))),"Incompleto",IF(G26&lt;0,"Risco","Saldo suficiente"))))</x:f>
      </x:c>
      <x:c r="J26" s="17" t="str">
        <x:f>IF(A26="","",IF(K26&lt;&gt;"OK","Conferir cadastro",IF(OR(NOT(ISNUMBER(D26)),NOT(ISNUMBER(E26))),"Incompleto",IF(H26&lt;0,"Risco","Saldo suficiente"))))</x:f>
      </x:c>
      <x:c r="K26" s="17" t="str">
        <x:f>IF(COUNTA(A26:E26)=0,"",IF(A26="","Informe ID",IF(COUNTIFS($A$7:$A$56,A26)&gt;1,"Duplicado",IF(COUNTIFS('Contratos'!$A$7:$A$56,A26)&lt;&gt;1,"Sem cadastro único",IF(OR(NOT(ISNUMBER(F26)),F26&lt;1,F26&gt;24,F26&lt;&gt;INT(F26),B26&lt;0,C26&lt;0,D26&lt;0,E26&lt;0),"Revisar valores","OK")))))</x:f>
      </x:c>
    </x:row>
    <x:row r="27" ht="40" customHeight="1">
      <x:c r="A27" s="23"/>
      <x:c r="B27" s="27"/>
      <x:c r="C27" s="27"/>
      <x:c r="D27" s="27"/>
      <x:c r="E27" s="27"/>
      <x:c r="F27" s="17" t="str">
        <x:f>IF(A27="","",'Auxiliar'!$B$7)</x:f>
      </x:c>
      <x:c r="G27" s="31" t="str">
        <x:f>IF(A27="","",IF(OR(K27&lt;&gt;"OK",NOT(ISNUMBER(B27)),NOT(ISNUMBER(C27))),"",ROUND(B27-C27*F27,2)))</x:f>
      </x:c>
      <x:c r="H27" s="31" t="str">
        <x:f>IF(A27="","",IF(OR(K27&lt;&gt;"OK",NOT(ISNUMBER(D27)),NOT(ISNUMBER(E27))),"",ROUND(D27-E27*F27,2)))</x:f>
      </x:c>
      <x:c r="I27" s="17" t="str">
        <x:f>IF(A27="","",IF(K27&lt;&gt;"OK","Conferir cadastro",IF(OR(NOT(ISNUMBER(B27)),NOT(ISNUMBER(C27))),"Incompleto",IF(G27&lt;0,"Risco","Saldo suficiente"))))</x:f>
      </x:c>
      <x:c r="J27" s="17" t="str">
        <x:f>IF(A27="","",IF(K27&lt;&gt;"OK","Conferir cadastro",IF(OR(NOT(ISNUMBER(D27)),NOT(ISNUMBER(E27))),"Incompleto",IF(H27&lt;0,"Risco","Saldo suficiente"))))</x:f>
      </x:c>
      <x:c r="K27" s="17" t="str">
        <x:f>IF(COUNTA(A27:E27)=0,"",IF(A27="","Informe ID",IF(COUNTIFS($A$7:$A$56,A27)&gt;1,"Duplicado",IF(COUNTIFS('Contratos'!$A$7:$A$56,A27)&lt;&gt;1,"Sem cadastro único",IF(OR(NOT(ISNUMBER(F27)),F27&lt;1,F27&gt;24,F27&lt;&gt;INT(F27),B27&lt;0,C27&lt;0,D27&lt;0,E27&lt;0),"Revisar valores","OK")))))</x:f>
      </x:c>
    </x:row>
    <x:row r="28" ht="40" customHeight="1">
      <x:c r="A28" s="23"/>
      <x:c r="B28" s="27"/>
      <x:c r="C28" s="27"/>
      <x:c r="D28" s="27"/>
      <x:c r="E28" s="27"/>
      <x:c r="F28" s="17" t="str">
        <x:f>IF(A28="","",'Auxiliar'!$B$7)</x:f>
      </x:c>
      <x:c r="G28" s="31" t="str">
        <x:f>IF(A28="","",IF(OR(K28&lt;&gt;"OK",NOT(ISNUMBER(B28)),NOT(ISNUMBER(C28))),"",ROUND(B28-C28*F28,2)))</x:f>
      </x:c>
      <x:c r="H28" s="31" t="str">
        <x:f>IF(A28="","",IF(OR(K28&lt;&gt;"OK",NOT(ISNUMBER(D28)),NOT(ISNUMBER(E28))),"",ROUND(D28-E28*F28,2)))</x:f>
      </x:c>
      <x:c r="I28" s="17" t="str">
        <x:f>IF(A28="","",IF(K28&lt;&gt;"OK","Conferir cadastro",IF(OR(NOT(ISNUMBER(B28)),NOT(ISNUMBER(C28))),"Incompleto",IF(G28&lt;0,"Risco","Saldo suficiente"))))</x:f>
      </x:c>
      <x:c r="J28" s="17" t="str">
        <x:f>IF(A28="","",IF(K28&lt;&gt;"OK","Conferir cadastro",IF(OR(NOT(ISNUMBER(D28)),NOT(ISNUMBER(E28))),"Incompleto",IF(H28&lt;0,"Risco","Saldo suficiente"))))</x:f>
      </x:c>
      <x:c r="K28" s="17" t="str">
        <x:f>IF(COUNTA(A28:E28)=0,"",IF(A28="","Informe ID",IF(COUNTIFS($A$7:$A$56,A28)&gt;1,"Duplicado",IF(COUNTIFS('Contratos'!$A$7:$A$56,A28)&lt;&gt;1,"Sem cadastro único",IF(OR(NOT(ISNUMBER(F28)),F28&lt;1,F28&gt;24,F28&lt;&gt;INT(F28),B28&lt;0,C28&lt;0,D28&lt;0,E28&lt;0),"Revisar valores","OK")))))</x:f>
      </x:c>
    </x:row>
    <x:row r="29" ht="40" customHeight="1">
      <x:c r="A29" s="23"/>
      <x:c r="B29" s="27"/>
      <x:c r="C29" s="27"/>
      <x:c r="D29" s="27"/>
      <x:c r="E29" s="27"/>
      <x:c r="F29" s="17" t="str">
        <x:f>IF(A29="","",'Auxiliar'!$B$7)</x:f>
      </x:c>
      <x:c r="G29" s="31" t="str">
        <x:f>IF(A29="","",IF(OR(K29&lt;&gt;"OK",NOT(ISNUMBER(B29)),NOT(ISNUMBER(C29))),"",ROUND(B29-C29*F29,2)))</x:f>
      </x:c>
      <x:c r="H29" s="31" t="str">
        <x:f>IF(A29="","",IF(OR(K29&lt;&gt;"OK",NOT(ISNUMBER(D29)),NOT(ISNUMBER(E29))),"",ROUND(D29-E29*F29,2)))</x:f>
      </x:c>
      <x:c r="I29" s="17" t="str">
        <x:f>IF(A29="","",IF(K29&lt;&gt;"OK","Conferir cadastro",IF(OR(NOT(ISNUMBER(B29)),NOT(ISNUMBER(C29))),"Incompleto",IF(G29&lt;0,"Risco","Saldo suficiente"))))</x:f>
      </x:c>
      <x:c r="J29" s="17" t="str">
        <x:f>IF(A29="","",IF(K29&lt;&gt;"OK","Conferir cadastro",IF(OR(NOT(ISNUMBER(D29)),NOT(ISNUMBER(E29))),"Incompleto",IF(H29&lt;0,"Risco","Saldo suficiente"))))</x:f>
      </x:c>
      <x:c r="K29" s="17" t="str">
        <x:f>IF(COUNTA(A29:E29)=0,"",IF(A29="","Informe ID",IF(COUNTIFS($A$7:$A$56,A29)&gt;1,"Duplicado",IF(COUNTIFS('Contratos'!$A$7:$A$56,A29)&lt;&gt;1,"Sem cadastro único",IF(OR(NOT(ISNUMBER(F29)),F29&lt;1,F29&gt;24,F29&lt;&gt;INT(F29),B29&lt;0,C29&lt;0,D29&lt;0,E29&lt;0),"Revisar valores","OK")))))</x:f>
      </x:c>
    </x:row>
    <x:row r="30" ht="40" customHeight="1">
      <x:c r="A30" s="23"/>
      <x:c r="B30" s="27"/>
      <x:c r="C30" s="27"/>
      <x:c r="D30" s="27"/>
      <x:c r="E30" s="27"/>
      <x:c r="F30" s="17" t="str">
        <x:f>IF(A30="","",'Auxiliar'!$B$7)</x:f>
      </x:c>
      <x:c r="G30" s="31" t="str">
        <x:f>IF(A30="","",IF(OR(K30&lt;&gt;"OK",NOT(ISNUMBER(B30)),NOT(ISNUMBER(C30))),"",ROUND(B30-C30*F30,2)))</x:f>
      </x:c>
      <x:c r="H30" s="31" t="str">
        <x:f>IF(A30="","",IF(OR(K30&lt;&gt;"OK",NOT(ISNUMBER(D30)),NOT(ISNUMBER(E30))),"",ROUND(D30-E30*F30,2)))</x:f>
      </x:c>
      <x:c r="I30" s="17" t="str">
        <x:f>IF(A30="","",IF(K30&lt;&gt;"OK","Conferir cadastro",IF(OR(NOT(ISNUMBER(B30)),NOT(ISNUMBER(C30))),"Incompleto",IF(G30&lt;0,"Risco","Saldo suficiente"))))</x:f>
      </x:c>
      <x:c r="J30" s="17" t="str">
        <x:f>IF(A30="","",IF(K30&lt;&gt;"OK","Conferir cadastro",IF(OR(NOT(ISNUMBER(D30)),NOT(ISNUMBER(E30))),"Incompleto",IF(H30&lt;0,"Risco","Saldo suficiente"))))</x:f>
      </x:c>
      <x:c r="K30" s="17" t="str">
        <x:f>IF(COUNTA(A30:E30)=0,"",IF(A30="","Informe ID",IF(COUNTIFS($A$7:$A$56,A30)&gt;1,"Duplicado",IF(COUNTIFS('Contratos'!$A$7:$A$56,A30)&lt;&gt;1,"Sem cadastro único",IF(OR(NOT(ISNUMBER(F30)),F30&lt;1,F30&gt;24,F30&lt;&gt;INT(F30),B30&lt;0,C30&lt;0,D30&lt;0,E30&lt;0),"Revisar valores","OK")))))</x:f>
      </x:c>
    </x:row>
    <x:row r="31" ht="40" customHeight="1">
      <x:c r="A31" s="23"/>
      <x:c r="B31" s="27"/>
      <x:c r="C31" s="27"/>
      <x:c r="D31" s="27"/>
      <x:c r="E31" s="27"/>
      <x:c r="F31" s="17" t="str">
        <x:f>IF(A31="","",'Auxiliar'!$B$7)</x:f>
      </x:c>
      <x:c r="G31" s="31" t="str">
        <x:f>IF(A31="","",IF(OR(K31&lt;&gt;"OK",NOT(ISNUMBER(B31)),NOT(ISNUMBER(C31))),"",ROUND(B31-C31*F31,2)))</x:f>
      </x:c>
      <x:c r="H31" s="31" t="str">
        <x:f>IF(A31="","",IF(OR(K31&lt;&gt;"OK",NOT(ISNUMBER(D31)),NOT(ISNUMBER(E31))),"",ROUND(D31-E31*F31,2)))</x:f>
      </x:c>
      <x:c r="I31" s="17" t="str">
        <x:f>IF(A31="","",IF(K31&lt;&gt;"OK","Conferir cadastro",IF(OR(NOT(ISNUMBER(B31)),NOT(ISNUMBER(C31))),"Incompleto",IF(G31&lt;0,"Risco","Saldo suficiente"))))</x:f>
      </x:c>
      <x:c r="J31" s="17" t="str">
        <x:f>IF(A31="","",IF(K31&lt;&gt;"OK","Conferir cadastro",IF(OR(NOT(ISNUMBER(D31)),NOT(ISNUMBER(E31))),"Incompleto",IF(H31&lt;0,"Risco","Saldo suficiente"))))</x:f>
      </x:c>
      <x:c r="K31" s="17" t="str">
        <x:f>IF(COUNTA(A31:E31)=0,"",IF(A31="","Informe ID",IF(COUNTIFS($A$7:$A$56,A31)&gt;1,"Duplicado",IF(COUNTIFS('Contratos'!$A$7:$A$56,A31)&lt;&gt;1,"Sem cadastro único",IF(OR(NOT(ISNUMBER(F31)),F31&lt;1,F31&gt;24,F31&lt;&gt;INT(F31),B31&lt;0,C31&lt;0,D31&lt;0,E31&lt;0),"Revisar valores","OK")))))</x:f>
      </x:c>
    </x:row>
    <x:row r="32" ht="40" customHeight="1">
      <x:c r="A32" s="23"/>
      <x:c r="B32" s="27"/>
      <x:c r="C32" s="27"/>
      <x:c r="D32" s="27"/>
      <x:c r="E32" s="27"/>
      <x:c r="F32" s="17" t="str">
        <x:f>IF(A32="","",'Auxiliar'!$B$7)</x:f>
      </x:c>
      <x:c r="G32" s="31" t="str">
        <x:f>IF(A32="","",IF(OR(K32&lt;&gt;"OK",NOT(ISNUMBER(B32)),NOT(ISNUMBER(C32))),"",ROUND(B32-C32*F32,2)))</x:f>
      </x:c>
      <x:c r="H32" s="31" t="str">
        <x:f>IF(A32="","",IF(OR(K32&lt;&gt;"OK",NOT(ISNUMBER(D32)),NOT(ISNUMBER(E32))),"",ROUND(D32-E32*F32,2)))</x:f>
      </x:c>
      <x:c r="I32" s="17" t="str">
        <x:f>IF(A32="","",IF(K32&lt;&gt;"OK","Conferir cadastro",IF(OR(NOT(ISNUMBER(B32)),NOT(ISNUMBER(C32))),"Incompleto",IF(G32&lt;0,"Risco","Saldo suficiente"))))</x:f>
      </x:c>
      <x:c r="J32" s="17" t="str">
        <x:f>IF(A32="","",IF(K32&lt;&gt;"OK","Conferir cadastro",IF(OR(NOT(ISNUMBER(D32)),NOT(ISNUMBER(E32))),"Incompleto",IF(H32&lt;0,"Risco","Saldo suficiente"))))</x:f>
      </x:c>
      <x:c r="K32" s="17" t="str">
        <x:f>IF(COUNTA(A32:E32)=0,"",IF(A32="","Informe ID",IF(COUNTIFS($A$7:$A$56,A32)&gt;1,"Duplicado",IF(COUNTIFS('Contratos'!$A$7:$A$56,A32)&lt;&gt;1,"Sem cadastro único",IF(OR(NOT(ISNUMBER(F32)),F32&lt;1,F32&gt;24,F32&lt;&gt;INT(F32),B32&lt;0,C32&lt;0,D32&lt;0,E32&lt;0),"Revisar valores","OK")))))</x:f>
      </x:c>
    </x:row>
    <x:row r="33" ht="40" customHeight="1">
      <x:c r="A33" s="23"/>
      <x:c r="B33" s="27"/>
      <x:c r="C33" s="27"/>
      <x:c r="D33" s="27"/>
      <x:c r="E33" s="27"/>
      <x:c r="F33" s="17" t="str">
        <x:f>IF(A33="","",'Auxiliar'!$B$7)</x:f>
      </x:c>
      <x:c r="G33" s="31" t="str">
        <x:f>IF(A33="","",IF(OR(K33&lt;&gt;"OK",NOT(ISNUMBER(B33)),NOT(ISNUMBER(C33))),"",ROUND(B33-C33*F33,2)))</x:f>
      </x:c>
      <x:c r="H33" s="31" t="str">
        <x:f>IF(A33="","",IF(OR(K33&lt;&gt;"OK",NOT(ISNUMBER(D33)),NOT(ISNUMBER(E33))),"",ROUND(D33-E33*F33,2)))</x:f>
      </x:c>
      <x:c r="I33" s="17" t="str">
        <x:f>IF(A33="","",IF(K33&lt;&gt;"OK","Conferir cadastro",IF(OR(NOT(ISNUMBER(B33)),NOT(ISNUMBER(C33))),"Incompleto",IF(G33&lt;0,"Risco","Saldo suficiente"))))</x:f>
      </x:c>
      <x:c r="J33" s="17" t="str">
        <x:f>IF(A33="","",IF(K33&lt;&gt;"OK","Conferir cadastro",IF(OR(NOT(ISNUMBER(D33)),NOT(ISNUMBER(E33))),"Incompleto",IF(H33&lt;0,"Risco","Saldo suficiente"))))</x:f>
      </x:c>
      <x:c r="K33" s="17" t="str">
        <x:f>IF(COUNTA(A33:E33)=0,"",IF(A33="","Informe ID",IF(COUNTIFS($A$7:$A$56,A33)&gt;1,"Duplicado",IF(COUNTIFS('Contratos'!$A$7:$A$56,A33)&lt;&gt;1,"Sem cadastro único",IF(OR(NOT(ISNUMBER(F33)),F33&lt;1,F33&gt;24,F33&lt;&gt;INT(F33),B33&lt;0,C33&lt;0,D33&lt;0,E33&lt;0),"Revisar valores","OK")))))</x:f>
      </x:c>
    </x:row>
    <x:row r="34" ht="40" customHeight="1">
      <x:c r="A34" s="23"/>
      <x:c r="B34" s="27"/>
      <x:c r="C34" s="27"/>
      <x:c r="D34" s="27"/>
      <x:c r="E34" s="27"/>
      <x:c r="F34" s="17" t="str">
        <x:f>IF(A34="","",'Auxiliar'!$B$7)</x:f>
      </x:c>
      <x:c r="G34" s="31" t="str">
        <x:f>IF(A34="","",IF(OR(K34&lt;&gt;"OK",NOT(ISNUMBER(B34)),NOT(ISNUMBER(C34))),"",ROUND(B34-C34*F34,2)))</x:f>
      </x:c>
      <x:c r="H34" s="31" t="str">
        <x:f>IF(A34="","",IF(OR(K34&lt;&gt;"OK",NOT(ISNUMBER(D34)),NOT(ISNUMBER(E34))),"",ROUND(D34-E34*F34,2)))</x:f>
      </x:c>
      <x:c r="I34" s="17" t="str">
        <x:f>IF(A34="","",IF(K34&lt;&gt;"OK","Conferir cadastro",IF(OR(NOT(ISNUMBER(B34)),NOT(ISNUMBER(C34))),"Incompleto",IF(G34&lt;0,"Risco","Saldo suficiente"))))</x:f>
      </x:c>
      <x:c r="J34" s="17" t="str">
        <x:f>IF(A34="","",IF(K34&lt;&gt;"OK","Conferir cadastro",IF(OR(NOT(ISNUMBER(D34)),NOT(ISNUMBER(E34))),"Incompleto",IF(H34&lt;0,"Risco","Saldo suficiente"))))</x:f>
      </x:c>
      <x:c r="K34" s="17" t="str">
        <x:f>IF(COUNTA(A34:E34)=0,"",IF(A34="","Informe ID",IF(COUNTIFS($A$7:$A$56,A34)&gt;1,"Duplicado",IF(COUNTIFS('Contratos'!$A$7:$A$56,A34)&lt;&gt;1,"Sem cadastro único",IF(OR(NOT(ISNUMBER(F34)),F34&lt;1,F34&gt;24,F34&lt;&gt;INT(F34),B34&lt;0,C34&lt;0,D34&lt;0,E34&lt;0),"Revisar valores","OK")))))</x:f>
      </x:c>
    </x:row>
    <x:row r="35" ht="40" customHeight="1">
      <x:c r="A35" s="23"/>
      <x:c r="B35" s="27"/>
      <x:c r="C35" s="27"/>
      <x:c r="D35" s="27"/>
      <x:c r="E35" s="27"/>
      <x:c r="F35" s="17" t="str">
        <x:f>IF(A35="","",'Auxiliar'!$B$7)</x:f>
      </x:c>
      <x:c r="G35" s="31" t="str">
        <x:f>IF(A35="","",IF(OR(K35&lt;&gt;"OK",NOT(ISNUMBER(B35)),NOT(ISNUMBER(C35))),"",ROUND(B35-C35*F35,2)))</x:f>
      </x:c>
      <x:c r="H35" s="31" t="str">
        <x:f>IF(A35="","",IF(OR(K35&lt;&gt;"OK",NOT(ISNUMBER(D35)),NOT(ISNUMBER(E35))),"",ROUND(D35-E35*F35,2)))</x:f>
      </x:c>
      <x:c r="I35" s="17" t="str">
        <x:f>IF(A35="","",IF(K35&lt;&gt;"OK","Conferir cadastro",IF(OR(NOT(ISNUMBER(B35)),NOT(ISNUMBER(C35))),"Incompleto",IF(G35&lt;0,"Risco","Saldo suficiente"))))</x:f>
      </x:c>
      <x:c r="J35" s="17" t="str">
        <x:f>IF(A35="","",IF(K35&lt;&gt;"OK","Conferir cadastro",IF(OR(NOT(ISNUMBER(D35)),NOT(ISNUMBER(E35))),"Incompleto",IF(H35&lt;0,"Risco","Saldo suficiente"))))</x:f>
      </x:c>
      <x:c r="K35" s="17" t="str">
        <x:f>IF(COUNTA(A35:E35)=0,"",IF(A35="","Informe ID",IF(COUNTIFS($A$7:$A$56,A35)&gt;1,"Duplicado",IF(COUNTIFS('Contratos'!$A$7:$A$56,A35)&lt;&gt;1,"Sem cadastro único",IF(OR(NOT(ISNUMBER(F35)),F35&lt;1,F35&gt;24,F35&lt;&gt;INT(F35),B35&lt;0,C35&lt;0,D35&lt;0,E35&lt;0),"Revisar valores","OK")))))</x:f>
      </x:c>
    </x:row>
    <x:row r="36" ht="40" customHeight="1">
      <x:c r="A36" s="23"/>
      <x:c r="B36" s="27"/>
      <x:c r="C36" s="27"/>
      <x:c r="D36" s="27"/>
      <x:c r="E36" s="27"/>
      <x:c r="F36" s="17" t="str">
        <x:f>IF(A36="","",'Auxiliar'!$B$7)</x:f>
      </x:c>
      <x:c r="G36" s="31" t="str">
        <x:f>IF(A36="","",IF(OR(K36&lt;&gt;"OK",NOT(ISNUMBER(B36)),NOT(ISNUMBER(C36))),"",ROUND(B36-C36*F36,2)))</x:f>
      </x:c>
      <x:c r="H36" s="31" t="str">
        <x:f>IF(A36="","",IF(OR(K36&lt;&gt;"OK",NOT(ISNUMBER(D36)),NOT(ISNUMBER(E36))),"",ROUND(D36-E36*F36,2)))</x:f>
      </x:c>
      <x:c r="I36" s="17" t="str">
        <x:f>IF(A36="","",IF(K36&lt;&gt;"OK","Conferir cadastro",IF(OR(NOT(ISNUMBER(B36)),NOT(ISNUMBER(C36))),"Incompleto",IF(G36&lt;0,"Risco","Saldo suficiente"))))</x:f>
      </x:c>
      <x:c r="J36" s="17" t="str">
        <x:f>IF(A36="","",IF(K36&lt;&gt;"OK","Conferir cadastro",IF(OR(NOT(ISNUMBER(D36)),NOT(ISNUMBER(E36))),"Incompleto",IF(H36&lt;0,"Risco","Saldo suficiente"))))</x:f>
      </x:c>
      <x:c r="K36" s="17" t="str">
        <x:f>IF(COUNTA(A36:E36)=0,"",IF(A36="","Informe ID",IF(COUNTIFS($A$7:$A$56,A36)&gt;1,"Duplicado",IF(COUNTIFS('Contratos'!$A$7:$A$56,A36)&lt;&gt;1,"Sem cadastro único",IF(OR(NOT(ISNUMBER(F36)),F36&lt;1,F36&gt;24,F36&lt;&gt;INT(F36),B36&lt;0,C36&lt;0,D36&lt;0,E36&lt;0),"Revisar valores","OK")))))</x:f>
      </x:c>
    </x:row>
    <x:row r="37" ht="40" customHeight="1">
      <x:c r="A37" s="23"/>
      <x:c r="B37" s="27"/>
      <x:c r="C37" s="27"/>
      <x:c r="D37" s="27"/>
      <x:c r="E37" s="27"/>
      <x:c r="F37" s="17" t="str">
        <x:f>IF(A37="","",'Auxiliar'!$B$7)</x:f>
      </x:c>
      <x:c r="G37" s="31" t="str">
        <x:f>IF(A37="","",IF(OR(K37&lt;&gt;"OK",NOT(ISNUMBER(B37)),NOT(ISNUMBER(C37))),"",ROUND(B37-C37*F37,2)))</x:f>
      </x:c>
      <x:c r="H37" s="31" t="str">
        <x:f>IF(A37="","",IF(OR(K37&lt;&gt;"OK",NOT(ISNUMBER(D37)),NOT(ISNUMBER(E37))),"",ROUND(D37-E37*F37,2)))</x:f>
      </x:c>
      <x:c r="I37" s="17" t="str">
        <x:f>IF(A37="","",IF(K37&lt;&gt;"OK","Conferir cadastro",IF(OR(NOT(ISNUMBER(B37)),NOT(ISNUMBER(C37))),"Incompleto",IF(G37&lt;0,"Risco","Saldo suficiente"))))</x:f>
      </x:c>
      <x:c r="J37" s="17" t="str">
        <x:f>IF(A37="","",IF(K37&lt;&gt;"OK","Conferir cadastro",IF(OR(NOT(ISNUMBER(D37)),NOT(ISNUMBER(E37))),"Incompleto",IF(H37&lt;0,"Risco","Saldo suficiente"))))</x:f>
      </x:c>
      <x:c r="K37" s="17" t="str">
        <x:f>IF(COUNTA(A37:E37)=0,"",IF(A37="","Informe ID",IF(COUNTIFS($A$7:$A$56,A37)&gt;1,"Duplicado",IF(COUNTIFS('Contratos'!$A$7:$A$56,A37)&lt;&gt;1,"Sem cadastro único",IF(OR(NOT(ISNUMBER(F37)),F37&lt;1,F37&gt;24,F37&lt;&gt;INT(F37),B37&lt;0,C37&lt;0,D37&lt;0,E37&lt;0),"Revisar valores","OK")))))</x:f>
      </x:c>
    </x:row>
    <x:row r="38" ht="40" customHeight="1">
      <x:c r="A38" s="23"/>
      <x:c r="B38" s="27"/>
      <x:c r="C38" s="27"/>
      <x:c r="D38" s="27"/>
      <x:c r="E38" s="27"/>
      <x:c r="F38" s="17" t="str">
        <x:f>IF(A38="","",'Auxiliar'!$B$7)</x:f>
      </x:c>
      <x:c r="G38" s="31" t="str">
        <x:f>IF(A38="","",IF(OR(K38&lt;&gt;"OK",NOT(ISNUMBER(B38)),NOT(ISNUMBER(C38))),"",ROUND(B38-C38*F38,2)))</x:f>
      </x:c>
      <x:c r="H38" s="31" t="str">
        <x:f>IF(A38="","",IF(OR(K38&lt;&gt;"OK",NOT(ISNUMBER(D38)),NOT(ISNUMBER(E38))),"",ROUND(D38-E38*F38,2)))</x:f>
      </x:c>
      <x:c r="I38" s="17" t="str">
        <x:f>IF(A38="","",IF(K38&lt;&gt;"OK","Conferir cadastro",IF(OR(NOT(ISNUMBER(B38)),NOT(ISNUMBER(C38))),"Incompleto",IF(G38&lt;0,"Risco","Saldo suficiente"))))</x:f>
      </x:c>
      <x:c r="J38" s="17" t="str">
        <x:f>IF(A38="","",IF(K38&lt;&gt;"OK","Conferir cadastro",IF(OR(NOT(ISNUMBER(D38)),NOT(ISNUMBER(E38))),"Incompleto",IF(H38&lt;0,"Risco","Saldo suficiente"))))</x:f>
      </x:c>
      <x:c r="K38" s="17" t="str">
        <x:f>IF(COUNTA(A38:E38)=0,"",IF(A38="","Informe ID",IF(COUNTIFS($A$7:$A$56,A38)&gt;1,"Duplicado",IF(COUNTIFS('Contratos'!$A$7:$A$56,A38)&lt;&gt;1,"Sem cadastro único",IF(OR(NOT(ISNUMBER(F38)),F38&lt;1,F38&gt;24,F38&lt;&gt;INT(F38),B38&lt;0,C38&lt;0,D38&lt;0,E38&lt;0),"Revisar valores","OK")))))</x:f>
      </x:c>
    </x:row>
    <x:row r="39" ht="40" customHeight="1">
      <x:c r="A39" s="23"/>
      <x:c r="B39" s="27"/>
      <x:c r="C39" s="27"/>
      <x:c r="D39" s="27"/>
      <x:c r="E39" s="27"/>
      <x:c r="F39" s="17" t="str">
        <x:f>IF(A39="","",'Auxiliar'!$B$7)</x:f>
      </x:c>
      <x:c r="G39" s="31" t="str">
        <x:f>IF(A39="","",IF(OR(K39&lt;&gt;"OK",NOT(ISNUMBER(B39)),NOT(ISNUMBER(C39))),"",ROUND(B39-C39*F39,2)))</x:f>
      </x:c>
      <x:c r="H39" s="31" t="str">
        <x:f>IF(A39="","",IF(OR(K39&lt;&gt;"OK",NOT(ISNUMBER(D39)),NOT(ISNUMBER(E39))),"",ROUND(D39-E39*F39,2)))</x:f>
      </x:c>
      <x:c r="I39" s="17" t="str">
        <x:f>IF(A39="","",IF(K39&lt;&gt;"OK","Conferir cadastro",IF(OR(NOT(ISNUMBER(B39)),NOT(ISNUMBER(C39))),"Incompleto",IF(G39&lt;0,"Risco","Saldo suficiente"))))</x:f>
      </x:c>
      <x:c r="J39" s="17" t="str">
        <x:f>IF(A39="","",IF(K39&lt;&gt;"OK","Conferir cadastro",IF(OR(NOT(ISNUMBER(D39)),NOT(ISNUMBER(E39))),"Incompleto",IF(H39&lt;0,"Risco","Saldo suficiente"))))</x:f>
      </x:c>
      <x:c r="K39" s="17" t="str">
        <x:f>IF(COUNTA(A39:E39)=0,"",IF(A39="","Informe ID",IF(COUNTIFS($A$7:$A$56,A39)&gt;1,"Duplicado",IF(COUNTIFS('Contratos'!$A$7:$A$56,A39)&lt;&gt;1,"Sem cadastro único",IF(OR(NOT(ISNUMBER(F39)),F39&lt;1,F39&gt;24,F39&lt;&gt;INT(F39),B39&lt;0,C39&lt;0,D39&lt;0,E39&lt;0),"Revisar valores","OK")))))</x:f>
      </x:c>
    </x:row>
    <x:row r="40" ht="40" customHeight="1">
      <x:c r="A40" s="23"/>
      <x:c r="B40" s="27"/>
      <x:c r="C40" s="27"/>
      <x:c r="D40" s="27"/>
      <x:c r="E40" s="27"/>
      <x:c r="F40" s="17" t="str">
        <x:f>IF(A40="","",'Auxiliar'!$B$7)</x:f>
      </x:c>
      <x:c r="G40" s="31" t="str">
        <x:f>IF(A40="","",IF(OR(K40&lt;&gt;"OK",NOT(ISNUMBER(B40)),NOT(ISNUMBER(C40))),"",ROUND(B40-C40*F40,2)))</x:f>
      </x:c>
      <x:c r="H40" s="31" t="str">
        <x:f>IF(A40="","",IF(OR(K40&lt;&gt;"OK",NOT(ISNUMBER(D40)),NOT(ISNUMBER(E40))),"",ROUND(D40-E40*F40,2)))</x:f>
      </x:c>
      <x:c r="I40" s="17" t="str">
        <x:f>IF(A40="","",IF(K40&lt;&gt;"OK","Conferir cadastro",IF(OR(NOT(ISNUMBER(B40)),NOT(ISNUMBER(C40))),"Incompleto",IF(G40&lt;0,"Risco","Saldo suficiente"))))</x:f>
      </x:c>
      <x:c r="J40" s="17" t="str">
        <x:f>IF(A40="","",IF(K40&lt;&gt;"OK","Conferir cadastro",IF(OR(NOT(ISNUMBER(D40)),NOT(ISNUMBER(E40))),"Incompleto",IF(H40&lt;0,"Risco","Saldo suficiente"))))</x:f>
      </x:c>
      <x:c r="K40" s="17" t="str">
        <x:f>IF(COUNTA(A40:E40)=0,"",IF(A40="","Informe ID",IF(COUNTIFS($A$7:$A$56,A40)&gt;1,"Duplicado",IF(COUNTIFS('Contratos'!$A$7:$A$56,A40)&lt;&gt;1,"Sem cadastro único",IF(OR(NOT(ISNUMBER(F40)),F40&lt;1,F40&gt;24,F40&lt;&gt;INT(F40),B40&lt;0,C40&lt;0,D40&lt;0,E40&lt;0),"Revisar valores","OK")))))</x:f>
      </x:c>
    </x:row>
    <x:row r="41" ht="40" customHeight="1">
      <x:c r="A41" s="23"/>
      <x:c r="B41" s="27"/>
      <x:c r="C41" s="27"/>
      <x:c r="D41" s="27"/>
      <x:c r="E41" s="27"/>
      <x:c r="F41" s="17" t="str">
        <x:f>IF(A41="","",'Auxiliar'!$B$7)</x:f>
      </x:c>
      <x:c r="G41" s="31" t="str">
        <x:f>IF(A41="","",IF(OR(K41&lt;&gt;"OK",NOT(ISNUMBER(B41)),NOT(ISNUMBER(C41))),"",ROUND(B41-C41*F41,2)))</x:f>
      </x:c>
      <x:c r="H41" s="31" t="str">
        <x:f>IF(A41="","",IF(OR(K41&lt;&gt;"OK",NOT(ISNUMBER(D41)),NOT(ISNUMBER(E41))),"",ROUND(D41-E41*F41,2)))</x:f>
      </x:c>
      <x:c r="I41" s="17" t="str">
        <x:f>IF(A41="","",IF(K41&lt;&gt;"OK","Conferir cadastro",IF(OR(NOT(ISNUMBER(B41)),NOT(ISNUMBER(C41))),"Incompleto",IF(G41&lt;0,"Risco","Saldo suficiente"))))</x:f>
      </x:c>
      <x:c r="J41" s="17" t="str">
        <x:f>IF(A41="","",IF(K41&lt;&gt;"OK","Conferir cadastro",IF(OR(NOT(ISNUMBER(D41)),NOT(ISNUMBER(E41))),"Incompleto",IF(H41&lt;0,"Risco","Saldo suficiente"))))</x:f>
      </x:c>
      <x:c r="K41" s="17" t="str">
        <x:f>IF(COUNTA(A41:E41)=0,"",IF(A41="","Informe ID",IF(COUNTIFS($A$7:$A$56,A41)&gt;1,"Duplicado",IF(COUNTIFS('Contratos'!$A$7:$A$56,A41)&lt;&gt;1,"Sem cadastro único",IF(OR(NOT(ISNUMBER(F41)),F41&lt;1,F41&gt;24,F41&lt;&gt;INT(F41),B41&lt;0,C41&lt;0,D41&lt;0,E41&lt;0),"Revisar valores","OK")))))</x:f>
      </x:c>
    </x:row>
    <x:row r="42" ht="40" customHeight="1">
      <x:c r="A42" s="23"/>
      <x:c r="B42" s="27"/>
      <x:c r="C42" s="27"/>
      <x:c r="D42" s="27"/>
      <x:c r="E42" s="27"/>
      <x:c r="F42" s="17" t="str">
        <x:f>IF(A42="","",'Auxiliar'!$B$7)</x:f>
      </x:c>
      <x:c r="G42" s="31" t="str">
        <x:f>IF(A42="","",IF(OR(K42&lt;&gt;"OK",NOT(ISNUMBER(B42)),NOT(ISNUMBER(C42))),"",ROUND(B42-C42*F42,2)))</x:f>
      </x:c>
      <x:c r="H42" s="31" t="str">
        <x:f>IF(A42="","",IF(OR(K42&lt;&gt;"OK",NOT(ISNUMBER(D42)),NOT(ISNUMBER(E42))),"",ROUND(D42-E42*F42,2)))</x:f>
      </x:c>
      <x:c r="I42" s="17" t="str">
        <x:f>IF(A42="","",IF(K42&lt;&gt;"OK","Conferir cadastro",IF(OR(NOT(ISNUMBER(B42)),NOT(ISNUMBER(C42))),"Incompleto",IF(G42&lt;0,"Risco","Saldo suficiente"))))</x:f>
      </x:c>
      <x:c r="J42" s="17" t="str">
        <x:f>IF(A42="","",IF(K42&lt;&gt;"OK","Conferir cadastro",IF(OR(NOT(ISNUMBER(D42)),NOT(ISNUMBER(E42))),"Incompleto",IF(H42&lt;0,"Risco","Saldo suficiente"))))</x:f>
      </x:c>
      <x:c r="K42" s="17" t="str">
        <x:f>IF(COUNTA(A42:E42)=0,"",IF(A42="","Informe ID",IF(COUNTIFS($A$7:$A$56,A42)&gt;1,"Duplicado",IF(COUNTIFS('Contratos'!$A$7:$A$56,A42)&lt;&gt;1,"Sem cadastro único",IF(OR(NOT(ISNUMBER(F42)),F42&lt;1,F42&gt;24,F42&lt;&gt;INT(F42),B42&lt;0,C42&lt;0,D42&lt;0,E42&lt;0),"Revisar valores","OK")))))</x:f>
      </x:c>
    </x:row>
    <x:row r="43" ht="40" customHeight="1">
      <x:c r="A43" s="23"/>
      <x:c r="B43" s="27"/>
      <x:c r="C43" s="27"/>
      <x:c r="D43" s="27"/>
      <x:c r="E43" s="27"/>
      <x:c r="F43" s="17" t="str">
        <x:f>IF(A43="","",'Auxiliar'!$B$7)</x:f>
      </x:c>
      <x:c r="G43" s="31" t="str">
        <x:f>IF(A43="","",IF(OR(K43&lt;&gt;"OK",NOT(ISNUMBER(B43)),NOT(ISNUMBER(C43))),"",ROUND(B43-C43*F43,2)))</x:f>
      </x:c>
      <x:c r="H43" s="31" t="str">
        <x:f>IF(A43="","",IF(OR(K43&lt;&gt;"OK",NOT(ISNUMBER(D43)),NOT(ISNUMBER(E43))),"",ROUND(D43-E43*F43,2)))</x:f>
      </x:c>
      <x:c r="I43" s="17" t="str">
        <x:f>IF(A43="","",IF(K43&lt;&gt;"OK","Conferir cadastro",IF(OR(NOT(ISNUMBER(B43)),NOT(ISNUMBER(C43))),"Incompleto",IF(G43&lt;0,"Risco","Saldo suficiente"))))</x:f>
      </x:c>
      <x:c r="J43" s="17" t="str">
        <x:f>IF(A43="","",IF(K43&lt;&gt;"OK","Conferir cadastro",IF(OR(NOT(ISNUMBER(D43)),NOT(ISNUMBER(E43))),"Incompleto",IF(H43&lt;0,"Risco","Saldo suficiente"))))</x:f>
      </x:c>
      <x:c r="K43" s="17" t="str">
        <x:f>IF(COUNTA(A43:E43)=0,"",IF(A43="","Informe ID",IF(COUNTIFS($A$7:$A$56,A43)&gt;1,"Duplicado",IF(COUNTIFS('Contratos'!$A$7:$A$56,A43)&lt;&gt;1,"Sem cadastro único",IF(OR(NOT(ISNUMBER(F43)),F43&lt;1,F43&gt;24,F43&lt;&gt;INT(F43),B43&lt;0,C43&lt;0,D43&lt;0,E43&lt;0),"Revisar valores","OK")))))</x:f>
      </x:c>
    </x:row>
    <x:row r="44" ht="40" customHeight="1">
      <x:c r="A44" s="23"/>
      <x:c r="B44" s="27"/>
      <x:c r="C44" s="27"/>
      <x:c r="D44" s="27"/>
      <x:c r="E44" s="27"/>
      <x:c r="F44" s="17" t="str">
        <x:f>IF(A44="","",'Auxiliar'!$B$7)</x:f>
      </x:c>
      <x:c r="G44" s="31" t="str">
        <x:f>IF(A44="","",IF(OR(K44&lt;&gt;"OK",NOT(ISNUMBER(B44)),NOT(ISNUMBER(C44))),"",ROUND(B44-C44*F44,2)))</x:f>
      </x:c>
      <x:c r="H44" s="31" t="str">
        <x:f>IF(A44="","",IF(OR(K44&lt;&gt;"OK",NOT(ISNUMBER(D44)),NOT(ISNUMBER(E44))),"",ROUND(D44-E44*F44,2)))</x:f>
      </x:c>
      <x:c r="I44" s="17" t="str">
        <x:f>IF(A44="","",IF(K44&lt;&gt;"OK","Conferir cadastro",IF(OR(NOT(ISNUMBER(B44)),NOT(ISNUMBER(C44))),"Incompleto",IF(G44&lt;0,"Risco","Saldo suficiente"))))</x:f>
      </x:c>
      <x:c r="J44" s="17" t="str">
        <x:f>IF(A44="","",IF(K44&lt;&gt;"OK","Conferir cadastro",IF(OR(NOT(ISNUMBER(D44)),NOT(ISNUMBER(E44))),"Incompleto",IF(H44&lt;0,"Risco","Saldo suficiente"))))</x:f>
      </x:c>
      <x:c r="K44" s="17" t="str">
        <x:f>IF(COUNTA(A44:E44)=0,"",IF(A44="","Informe ID",IF(COUNTIFS($A$7:$A$56,A44)&gt;1,"Duplicado",IF(COUNTIFS('Contratos'!$A$7:$A$56,A44)&lt;&gt;1,"Sem cadastro único",IF(OR(NOT(ISNUMBER(F44)),F44&lt;1,F44&gt;24,F44&lt;&gt;INT(F44),B44&lt;0,C44&lt;0,D44&lt;0,E44&lt;0),"Revisar valores","OK")))))</x:f>
      </x:c>
    </x:row>
    <x:row r="45" ht="40" customHeight="1">
      <x:c r="A45" s="23"/>
      <x:c r="B45" s="27"/>
      <x:c r="C45" s="27"/>
      <x:c r="D45" s="27"/>
      <x:c r="E45" s="27"/>
      <x:c r="F45" s="17" t="str">
        <x:f>IF(A45="","",'Auxiliar'!$B$7)</x:f>
      </x:c>
      <x:c r="G45" s="31" t="str">
        <x:f>IF(A45="","",IF(OR(K45&lt;&gt;"OK",NOT(ISNUMBER(B45)),NOT(ISNUMBER(C45))),"",ROUND(B45-C45*F45,2)))</x:f>
      </x:c>
      <x:c r="H45" s="31" t="str">
        <x:f>IF(A45="","",IF(OR(K45&lt;&gt;"OK",NOT(ISNUMBER(D45)),NOT(ISNUMBER(E45))),"",ROUND(D45-E45*F45,2)))</x:f>
      </x:c>
      <x:c r="I45" s="17" t="str">
        <x:f>IF(A45="","",IF(K45&lt;&gt;"OK","Conferir cadastro",IF(OR(NOT(ISNUMBER(B45)),NOT(ISNUMBER(C45))),"Incompleto",IF(G45&lt;0,"Risco","Saldo suficiente"))))</x:f>
      </x:c>
      <x:c r="J45" s="17" t="str">
        <x:f>IF(A45="","",IF(K45&lt;&gt;"OK","Conferir cadastro",IF(OR(NOT(ISNUMBER(D45)),NOT(ISNUMBER(E45))),"Incompleto",IF(H45&lt;0,"Risco","Saldo suficiente"))))</x:f>
      </x:c>
      <x:c r="K45" s="17" t="str">
        <x:f>IF(COUNTA(A45:E45)=0,"",IF(A45="","Informe ID",IF(COUNTIFS($A$7:$A$56,A45)&gt;1,"Duplicado",IF(COUNTIFS('Contratos'!$A$7:$A$56,A45)&lt;&gt;1,"Sem cadastro único",IF(OR(NOT(ISNUMBER(F45)),F45&lt;1,F45&gt;24,F45&lt;&gt;INT(F45),B45&lt;0,C45&lt;0,D45&lt;0,E45&lt;0),"Revisar valores","OK")))))</x:f>
      </x:c>
    </x:row>
    <x:row r="46" ht="40" customHeight="1">
      <x:c r="A46" s="23"/>
      <x:c r="B46" s="27"/>
      <x:c r="C46" s="27"/>
      <x:c r="D46" s="27"/>
      <x:c r="E46" s="27"/>
      <x:c r="F46" s="17" t="str">
        <x:f>IF(A46="","",'Auxiliar'!$B$7)</x:f>
      </x:c>
      <x:c r="G46" s="31" t="str">
        <x:f>IF(A46="","",IF(OR(K46&lt;&gt;"OK",NOT(ISNUMBER(B46)),NOT(ISNUMBER(C46))),"",ROUND(B46-C46*F46,2)))</x:f>
      </x:c>
      <x:c r="H46" s="31" t="str">
        <x:f>IF(A46="","",IF(OR(K46&lt;&gt;"OK",NOT(ISNUMBER(D46)),NOT(ISNUMBER(E46))),"",ROUND(D46-E46*F46,2)))</x:f>
      </x:c>
      <x:c r="I46" s="17" t="str">
        <x:f>IF(A46="","",IF(K46&lt;&gt;"OK","Conferir cadastro",IF(OR(NOT(ISNUMBER(B46)),NOT(ISNUMBER(C46))),"Incompleto",IF(G46&lt;0,"Risco","Saldo suficiente"))))</x:f>
      </x:c>
      <x:c r="J46" s="17" t="str">
        <x:f>IF(A46="","",IF(K46&lt;&gt;"OK","Conferir cadastro",IF(OR(NOT(ISNUMBER(D46)),NOT(ISNUMBER(E46))),"Incompleto",IF(H46&lt;0,"Risco","Saldo suficiente"))))</x:f>
      </x:c>
      <x:c r="K46" s="17" t="str">
        <x:f>IF(COUNTA(A46:E46)=0,"",IF(A46="","Informe ID",IF(COUNTIFS($A$7:$A$56,A46)&gt;1,"Duplicado",IF(COUNTIFS('Contratos'!$A$7:$A$56,A46)&lt;&gt;1,"Sem cadastro único",IF(OR(NOT(ISNUMBER(F46)),F46&lt;1,F46&gt;24,F46&lt;&gt;INT(F46),B46&lt;0,C46&lt;0,D46&lt;0,E46&lt;0),"Revisar valores","OK")))))</x:f>
      </x:c>
    </x:row>
    <x:row r="47" ht="40" customHeight="1">
      <x:c r="A47" s="23"/>
      <x:c r="B47" s="27"/>
      <x:c r="C47" s="27"/>
      <x:c r="D47" s="27"/>
      <x:c r="E47" s="27"/>
      <x:c r="F47" s="17" t="str">
        <x:f>IF(A47="","",'Auxiliar'!$B$7)</x:f>
      </x:c>
      <x:c r="G47" s="31" t="str">
        <x:f>IF(A47="","",IF(OR(K47&lt;&gt;"OK",NOT(ISNUMBER(B47)),NOT(ISNUMBER(C47))),"",ROUND(B47-C47*F47,2)))</x:f>
      </x:c>
      <x:c r="H47" s="31" t="str">
        <x:f>IF(A47="","",IF(OR(K47&lt;&gt;"OK",NOT(ISNUMBER(D47)),NOT(ISNUMBER(E47))),"",ROUND(D47-E47*F47,2)))</x:f>
      </x:c>
      <x:c r="I47" s="17" t="str">
        <x:f>IF(A47="","",IF(K47&lt;&gt;"OK","Conferir cadastro",IF(OR(NOT(ISNUMBER(B47)),NOT(ISNUMBER(C47))),"Incompleto",IF(G47&lt;0,"Risco","Saldo suficiente"))))</x:f>
      </x:c>
      <x:c r="J47" s="17" t="str">
        <x:f>IF(A47="","",IF(K47&lt;&gt;"OK","Conferir cadastro",IF(OR(NOT(ISNUMBER(D47)),NOT(ISNUMBER(E47))),"Incompleto",IF(H47&lt;0,"Risco","Saldo suficiente"))))</x:f>
      </x:c>
      <x:c r="K47" s="17" t="str">
        <x:f>IF(COUNTA(A47:E47)=0,"",IF(A47="","Informe ID",IF(COUNTIFS($A$7:$A$56,A47)&gt;1,"Duplicado",IF(COUNTIFS('Contratos'!$A$7:$A$56,A47)&lt;&gt;1,"Sem cadastro único",IF(OR(NOT(ISNUMBER(F47)),F47&lt;1,F47&gt;24,F47&lt;&gt;INT(F47),B47&lt;0,C47&lt;0,D47&lt;0,E47&lt;0),"Revisar valores","OK")))))</x:f>
      </x:c>
    </x:row>
    <x:row r="48" ht="40" customHeight="1">
      <x:c r="A48" s="23"/>
      <x:c r="B48" s="27"/>
      <x:c r="C48" s="27"/>
      <x:c r="D48" s="27"/>
      <x:c r="E48" s="27"/>
      <x:c r="F48" s="17" t="str">
        <x:f>IF(A48="","",'Auxiliar'!$B$7)</x:f>
      </x:c>
      <x:c r="G48" s="31" t="str">
        <x:f>IF(A48="","",IF(OR(K48&lt;&gt;"OK",NOT(ISNUMBER(B48)),NOT(ISNUMBER(C48))),"",ROUND(B48-C48*F48,2)))</x:f>
      </x:c>
      <x:c r="H48" s="31" t="str">
        <x:f>IF(A48="","",IF(OR(K48&lt;&gt;"OK",NOT(ISNUMBER(D48)),NOT(ISNUMBER(E48))),"",ROUND(D48-E48*F48,2)))</x:f>
      </x:c>
      <x:c r="I48" s="17" t="str">
        <x:f>IF(A48="","",IF(K48&lt;&gt;"OK","Conferir cadastro",IF(OR(NOT(ISNUMBER(B48)),NOT(ISNUMBER(C48))),"Incompleto",IF(G48&lt;0,"Risco","Saldo suficiente"))))</x:f>
      </x:c>
      <x:c r="J48" s="17" t="str">
        <x:f>IF(A48="","",IF(K48&lt;&gt;"OK","Conferir cadastro",IF(OR(NOT(ISNUMBER(D48)),NOT(ISNUMBER(E48))),"Incompleto",IF(H48&lt;0,"Risco","Saldo suficiente"))))</x:f>
      </x:c>
      <x:c r="K48" s="17" t="str">
        <x:f>IF(COUNTA(A48:E48)=0,"",IF(A48="","Informe ID",IF(COUNTIFS($A$7:$A$56,A48)&gt;1,"Duplicado",IF(COUNTIFS('Contratos'!$A$7:$A$56,A48)&lt;&gt;1,"Sem cadastro único",IF(OR(NOT(ISNUMBER(F48)),F48&lt;1,F48&gt;24,F48&lt;&gt;INT(F48),B48&lt;0,C48&lt;0,D48&lt;0,E48&lt;0),"Revisar valores","OK")))))</x:f>
      </x:c>
    </x:row>
    <x:row r="49" ht="40" customHeight="1">
      <x:c r="A49" s="23"/>
      <x:c r="B49" s="27"/>
      <x:c r="C49" s="27"/>
      <x:c r="D49" s="27"/>
      <x:c r="E49" s="27"/>
      <x:c r="F49" s="17" t="str">
        <x:f>IF(A49="","",'Auxiliar'!$B$7)</x:f>
      </x:c>
      <x:c r="G49" s="31" t="str">
        <x:f>IF(A49="","",IF(OR(K49&lt;&gt;"OK",NOT(ISNUMBER(B49)),NOT(ISNUMBER(C49))),"",ROUND(B49-C49*F49,2)))</x:f>
      </x:c>
      <x:c r="H49" s="31" t="str">
        <x:f>IF(A49="","",IF(OR(K49&lt;&gt;"OK",NOT(ISNUMBER(D49)),NOT(ISNUMBER(E49))),"",ROUND(D49-E49*F49,2)))</x:f>
      </x:c>
      <x:c r="I49" s="17" t="str">
        <x:f>IF(A49="","",IF(K49&lt;&gt;"OK","Conferir cadastro",IF(OR(NOT(ISNUMBER(B49)),NOT(ISNUMBER(C49))),"Incompleto",IF(G49&lt;0,"Risco","Saldo suficiente"))))</x:f>
      </x:c>
      <x:c r="J49" s="17" t="str">
        <x:f>IF(A49="","",IF(K49&lt;&gt;"OK","Conferir cadastro",IF(OR(NOT(ISNUMBER(D49)),NOT(ISNUMBER(E49))),"Incompleto",IF(H49&lt;0,"Risco","Saldo suficiente"))))</x:f>
      </x:c>
      <x:c r="K49" s="17" t="str">
        <x:f>IF(COUNTA(A49:E49)=0,"",IF(A49="","Informe ID",IF(COUNTIFS($A$7:$A$56,A49)&gt;1,"Duplicado",IF(COUNTIFS('Contratos'!$A$7:$A$56,A49)&lt;&gt;1,"Sem cadastro único",IF(OR(NOT(ISNUMBER(F49)),F49&lt;1,F49&gt;24,F49&lt;&gt;INT(F49),B49&lt;0,C49&lt;0,D49&lt;0,E49&lt;0),"Revisar valores","OK")))))</x:f>
      </x:c>
    </x:row>
    <x:row r="50" ht="40" customHeight="1">
      <x:c r="A50" s="23"/>
      <x:c r="B50" s="27"/>
      <x:c r="C50" s="27"/>
      <x:c r="D50" s="27"/>
      <x:c r="E50" s="27"/>
      <x:c r="F50" s="17" t="str">
        <x:f>IF(A50="","",'Auxiliar'!$B$7)</x:f>
      </x:c>
      <x:c r="G50" s="31" t="str">
        <x:f>IF(A50="","",IF(OR(K50&lt;&gt;"OK",NOT(ISNUMBER(B50)),NOT(ISNUMBER(C50))),"",ROUND(B50-C50*F50,2)))</x:f>
      </x:c>
      <x:c r="H50" s="31" t="str">
        <x:f>IF(A50="","",IF(OR(K50&lt;&gt;"OK",NOT(ISNUMBER(D50)),NOT(ISNUMBER(E50))),"",ROUND(D50-E50*F50,2)))</x:f>
      </x:c>
      <x:c r="I50" s="17" t="str">
        <x:f>IF(A50="","",IF(K50&lt;&gt;"OK","Conferir cadastro",IF(OR(NOT(ISNUMBER(B50)),NOT(ISNUMBER(C50))),"Incompleto",IF(G50&lt;0,"Risco","Saldo suficiente"))))</x:f>
      </x:c>
      <x:c r="J50" s="17" t="str">
        <x:f>IF(A50="","",IF(K50&lt;&gt;"OK","Conferir cadastro",IF(OR(NOT(ISNUMBER(D50)),NOT(ISNUMBER(E50))),"Incompleto",IF(H50&lt;0,"Risco","Saldo suficiente"))))</x:f>
      </x:c>
      <x:c r="K50" s="17" t="str">
        <x:f>IF(COUNTA(A50:E50)=0,"",IF(A50="","Informe ID",IF(COUNTIFS($A$7:$A$56,A50)&gt;1,"Duplicado",IF(COUNTIFS('Contratos'!$A$7:$A$56,A50)&lt;&gt;1,"Sem cadastro único",IF(OR(NOT(ISNUMBER(F50)),F50&lt;1,F50&gt;24,F50&lt;&gt;INT(F50),B50&lt;0,C50&lt;0,D50&lt;0,E50&lt;0),"Revisar valores","OK")))))</x:f>
      </x:c>
    </x:row>
    <x:row r="51" ht="40" customHeight="1">
      <x:c r="A51" s="23"/>
      <x:c r="B51" s="27"/>
      <x:c r="C51" s="27"/>
      <x:c r="D51" s="27"/>
      <x:c r="E51" s="27"/>
      <x:c r="F51" s="17" t="str">
        <x:f>IF(A51="","",'Auxiliar'!$B$7)</x:f>
      </x:c>
      <x:c r="G51" s="31" t="str">
        <x:f>IF(A51="","",IF(OR(K51&lt;&gt;"OK",NOT(ISNUMBER(B51)),NOT(ISNUMBER(C51))),"",ROUND(B51-C51*F51,2)))</x:f>
      </x:c>
      <x:c r="H51" s="31" t="str">
        <x:f>IF(A51="","",IF(OR(K51&lt;&gt;"OK",NOT(ISNUMBER(D51)),NOT(ISNUMBER(E51))),"",ROUND(D51-E51*F51,2)))</x:f>
      </x:c>
      <x:c r="I51" s="17" t="str">
        <x:f>IF(A51="","",IF(K51&lt;&gt;"OK","Conferir cadastro",IF(OR(NOT(ISNUMBER(B51)),NOT(ISNUMBER(C51))),"Incompleto",IF(G51&lt;0,"Risco","Saldo suficiente"))))</x:f>
      </x:c>
      <x:c r="J51" s="17" t="str">
        <x:f>IF(A51="","",IF(K51&lt;&gt;"OK","Conferir cadastro",IF(OR(NOT(ISNUMBER(D51)),NOT(ISNUMBER(E51))),"Incompleto",IF(H51&lt;0,"Risco","Saldo suficiente"))))</x:f>
      </x:c>
      <x:c r="K51" s="17" t="str">
        <x:f>IF(COUNTA(A51:E51)=0,"",IF(A51="","Informe ID",IF(COUNTIFS($A$7:$A$56,A51)&gt;1,"Duplicado",IF(COUNTIFS('Contratos'!$A$7:$A$56,A51)&lt;&gt;1,"Sem cadastro único",IF(OR(NOT(ISNUMBER(F51)),F51&lt;1,F51&gt;24,F51&lt;&gt;INT(F51),B51&lt;0,C51&lt;0,D51&lt;0,E51&lt;0),"Revisar valores","OK")))))</x:f>
      </x:c>
    </x:row>
    <x:row r="52" ht="40" customHeight="1">
      <x:c r="A52" s="23"/>
      <x:c r="B52" s="27"/>
      <x:c r="C52" s="27"/>
      <x:c r="D52" s="27"/>
      <x:c r="E52" s="27"/>
      <x:c r="F52" s="17" t="str">
        <x:f>IF(A52="","",'Auxiliar'!$B$7)</x:f>
      </x:c>
      <x:c r="G52" s="31" t="str">
        <x:f>IF(A52="","",IF(OR(K52&lt;&gt;"OK",NOT(ISNUMBER(B52)),NOT(ISNUMBER(C52))),"",ROUND(B52-C52*F52,2)))</x:f>
      </x:c>
      <x:c r="H52" s="31" t="str">
        <x:f>IF(A52="","",IF(OR(K52&lt;&gt;"OK",NOT(ISNUMBER(D52)),NOT(ISNUMBER(E52))),"",ROUND(D52-E52*F52,2)))</x:f>
      </x:c>
      <x:c r="I52" s="17" t="str">
        <x:f>IF(A52="","",IF(K52&lt;&gt;"OK","Conferir cadastro",IF(OR(NOT(ISNUMBER(B52)),NOT(ISNUMBER(C52))),"Incompleto",IF(G52&lt;0,"Risco","Saldo suficiente"))))</x:f>
      </x:c>
      <x:c r="J52" s="17" t="str">
        <x:f>IF(A52="","",IF(K52&lt;&gt;"OK","Conferir cadastro",IF(OR(NOT(ISNUMBER(D52)),NOT(ISNUMBER(E52))),"Incompleto",IF(H52&lt;0,"Risco","Saldo suficiente"))))</x:f>
      </x:c>
      <x:c r="K52" s="17" t="str">
        <x:f>IF(COUNTA(A52:E52)=0,"",IF(A52="","Informe ID",IF(COUNTIFS($A$7:$A$56,A52)&gt;1,"Duplicado",IF(COUNTIFS('Contratos'!$A$7:$A$56,A52)&lt;&gt;1,"Sem cadastro único",IF(OR(NOT(ISNUMBER(F52)),F52&lt;1,F52&gt;24,F52&lt;&gt;INT(F52),B52&lt;0,C52&lt;0,D52&lt;0,E52&lt;0),"Revisar valores","OK")))))</x:f>
      </x:c>
    </x:row>
    <x:row r="53" ht="40" customHeight="1">
      <x:c r="A53" s="23"/>
      <x:c r="B53" s="27"/>
      <x:c r="C53" s="27"/>
      <x:c r="D53" s="27"/>
      <x:c r="E53" s="27"/>
      <x:c r="F53" s="17" t="str">
        <x:f>IF(A53="","",'Auxiliar'!$B$7)</x:f>
      </x:c>
      <x:c r="G53" s="31" t="str">
        <x:f>IF(A53="","",IF(OR(K53&lt;&gt;"OK",NOT(ISNUMBER(B53)),NOT(ISNUMBER(C53))),"",ROUND(B53-C53*F53,2)))</x:f>
      </x:c>
      <x:c r="H53" s="31" t="str">
        <x:f>IF(A53="","",IF(OR(K53&lt;&gt;"OK",NOT(ISNUMBER(D53)),NOT(ISNUMBER(E53))),"",ROUND(D53-E53*F53,2)))</x:f>
      </x:c>
      <x:c r="I53" s="17" t="str">
        <x:f>IF(A53="","",IF(K53&lt;&gt;"OK","Conferir cadastro",IF(OR(NOT(ISNUMBER(B53)),NOT(ISNUMBER(C53))),"Incompleto",IF(G53&lt;0,"Risco","Saldo suficiente"))))</x:f>
      </x:c>
      <x:c r="J53" s="17" t="str">
        <x:f>IF(A53="","",IF(K53&lt;&gt;"OK","Conferir cadastro",IF(OR(NOT(ISNUMBER(D53)),NOT(ISNUMBER(E53))),"Incompleto",IF(H53&lt;0,"Risco","Saldo suficiente"))))</x:f>
      </x:c>
      <x:c r="K53" s="17" t="str">
        <x:f>IF(COUNTA(A53:E53)=0,"",IF(A53="","Informe ID",IF(COUNTIFS($A$7:$A$56,A53)&gt;1,"Duplicado",IF(COUNTIFS('Contratos'!$A$7:$A$56,A53)&lt;&gt;1,"Sem cadastro único",IF(OR(NOT(ISNUMBER(F53)),F53&lt;1,F53&gt;24,F53&lt;&gt;INT(F53),B53&lt;0,C53&lt;0,D53&lt;0,E53&lt;0),"Revisar valores","OK")))))</x:f>
      </x:c>
    </x:row>
    <x:row r="54" ht="40" customHeight="1">
      <x:c r="A54" s="23"/>
      <x:c r="B54" s="27"/>
      <x:c r="C54" s="27"/>
      <x:c r="D54" s="27"/>
      <x:c r="E54" s="27"/>
      <x:c r="F54" s="17" t="str">
        <x:f>IF(A54="","",'Auxiliar'!$B$7)</x:f>
      </x:c>
      <x:c r="G54" s="31" t="str">
        <x:f>IF(A54="","",IF(OR(K54&lt;&gt;"OK",NOT(ISNUMBER(B54)),NOT(ISNUMBER(C54))),"",ROUND(B54-C54*F54,2)))</x:f>
      </x:c>
      <x:c r="H54" s="31" t="str">
        <x:f>IF(A54="","",IF(OR(K54&lt;&gt;"OK",NOT(ISNUMBER(D54)),NOT(ISNUMBER(E54))),"",ROUND(D54-E54*F54,2)))</x:f>
      </x:c>
      <x:c r="I54" s="17" t="str">
        <x:f>IF(A54="","",IF(K54&lt;&gt;"OK","Conferir cadastro",IF(OR(NOT(ISNUMBER(B54)),NOT(ISNUMBER(C54))),"Incompleto",IF(G54&lt;0,"Risco","Saldo suficiente"))))</x:f>
      </x:c>
      <x:c r="J54" s="17" t="str">
        <x:f>IF(A54="","",IF(K54&lt;&gt;"OK","Conferir cadastro",IF(OR(NOT(ISNUMBER(D54)),NOT(ISNUMBER(E54))),"Incompleto",IF(H54&lt;0,"Risco","Saldo suficiente"))))</x:f>
      </x:c>
      <x:c r="K54" s="17" t="str">
        <x:f>IF(COUNTA(A54:E54)=0,"",IF(A54="","Informe ID",IF(COUNTIFS($A$7:$A$56,A54)&gt;1,"Duplicado",IF(COUNTIFS('Contratos'!$A$7:$A$56,A54)&lt;&gt;1,"Sem cadastro único",IF(OR(NOT(ISNUMBER(F54)),F54&lt;1,F54&gt;24,F54&lt;&gt;INT(F54),B54&lt;0,C54&lt;0,D54&lt;0,E54&lt;0),"Revisar valores","OK")))))</x:f>
      </x:c>
    </x:row>
    <x:row r="55" ht="40" customHeight="1">
      <x:c r="A55" s="23"/>
      <x:c r="B55" s="27"/>
      <x:c r="C55" s="27"/>
      <x:c r="D55" s="27"/>
      <x:c r="E55" s="27"/>
      <x:c r="F55" s="17" t="str">
        <x:f>IF(A55="","",'Auxiliar'!$B$7)</x:f>
      </x:c>
      <x:c r="G55" s="31" t="str">
        <x:f>IF(A55="","",IF(OR(K55&lt;&gt;"OK",NOT(ISNUMBER(B55)),NOT(ISNUMBER(C55))),"",ROUND(B55-C55*F55,2)))</x:f>
      </x:c>
      <x:c r="H55" s="31" t="str">
        <x:f>IF(A55="","",IF(OR(K55&lt;&gt;"OK",NOT(ISNUMBER(D55)),NOT(ISNUMBER(E55))),"",ROUND(D55-E55*F55,2)))</x:f>
      </x:c>
      <x:c r="I55" s="17" t="str">
        <x:f>IF(A55="","",IF(K55&lt;&gt;"OK","Conferir cadastro",IF(OR(NOT(ISNUMBER(B55)),NOT(ISNUMBER(C55))),"Incompleto",IF(G55&lt;0,"Risco","Saldo suficiente"))))</x:f>
      </x:c>
      <x:c r="J55" s="17" t="str">
        <x:f>IF(A55="","",IF(K55&lt;&gt;"OK","Conferir cadastro",IF(OR(NOT(ISNUMBER(D55)),NOT(ISNUMBER(E55))),"Incompleto",IF(H55&lt;0,"Risco","Saldo suficiente"))))</x:f>
      </x:c>
      <x:c r="K55" s="17" t="str">
        <x:f>IF(COUNTA(A55:E55)=0,"",IF(A55="","Informe ID",IF(COUNTIFS($A$7:$A$56,A55)&gt;1,"Duplicado",IF(COUNTIFS('Contratos'!$A$7:$A$56,A55)&lt;&gt;1,"Sem cadastro único",IF(OR(NOT(ISNUMBER(F55)),F55&lt;1,F55&gt;24,F55&lt;&gt;INT(F55),B55&lt;0,C55&lt;0,D55&lt;0,E55&lt;0),"Revisar valores","OK")))))</x:f>
      </x:c>
    </x:row>
    <x:row r="56" ht="40" customHeight="1">
      <x:c r="A56" s="23"/>
      <x:c r="B56" s="27"/>
      <x:c r="C56" s="27"/>
      <x:c r="D56" s="27"/>
      <x:c r="E56" s="27"/>
      <x:c r="F56" s="17" t="str">
        <x:f>IF(A56="","",'Auxiliar'!$B$7)</x:f>
      </x:c>
      <x:c r="G56" s="31" t="str">
        <x:f>IF(A56="","",IF(OR(K56&lt;&gt;"OK",NOT(ISNUMBER(B56)),NOT(ISNUMBER(C56))),"",ROUND(B56-C56*F56,2)))</x:f>
      </x:c>
      <x:c r="H56" s="31" t="str">
        <x:f>IF(A56="","",IF(OR(K56&lt;&gt;"OK",NOT(ISNUMBER(D56)),NOT(ISNUMBER(E56))),"",ROUND(D56-E56*F56,2)))</x:f>
      </x:c>
      <x:c r="I56" s="17" t="str">
        <x:f>IF(A56="","",IF(K56&lt;&gt;"OK","Conferir cadastro",IF(OR(NOT(ISNUMBER(B56)),NOT(ISNUMBER(C56))),"Incompleto",IF(G56&lt;0,"Risco","Saldo suficiente"))))</x:f>
      </x:c>
      <x:c r="J56" s="17" t="str">
        <x:f>IF(A56="","",IF(K56&lt;&gt;"OK","Conferir cadastro",IF(OR(NOT(ISNUMBER(D56)),NOT(ISNUMBER(E56))),"Incompleto",IF(H56&lt;0,"Risco","Saldo suficiente"))))</x:f>
      </x:c>
      <x:c r="K56" s="17" t="str">
        <x:f>IF(COUNTA(A56:E56)=0,"",IF(A56="","Informe ID",IF(COUNTIFS($A$7:$A$56,A56)&gt;1,"Duplicado",IF(COUNTIFS('Contratos'!$A$7:$A$56,A56)&lt;&gt;1,"Sem cadastro único",IF(OR(NOT(ISNUMBER(F56)),F56&lt;1,F56&gt;24,F56&lt;&gt;INT(F56),B56&lt;0,C56&lt;0,D56&lt;0,E56&lt;0),"Revisar valores","OK")))))</x:f>
      </x:c>
    </x:row>
    <x:row r="57" ht="28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</x:sheetData>
  <x:conditionalFormatting sqref="G7:K56">
    <x:cfRule type="containsText" dxfId="30" priority="1" operator="containsText" text="Vencido"/>
    <x:cfRule type="containsText" dxfId="31" priority="2" operator="containsText" text="Vence hoje"/>
    <x:cfRule type="containsText" dxfId="32" priority="3" operator="containsText" text="Revisar"/>
    <x:cfRule type="containsText" dxfId="33" priority="4" operator="containsText" text="Incompleto"/>
    <x:cfRule type="containsText" dxfId="34" priority="5" operator="containsText" text="Duplicado"/>
    <x:cfRule type="containsText" dxfId="35" priority="6" operator="containsText" text="Sem cadastro"/>
    <x:cfRule type="containsText" dxfId="36" priority="7" operator="containsText" text="Conferir"/>
    <x:cfRule type="containsText" dxfId="37" priority="8" operator="containsText" text="Aluguel indevido"/>
    <x:cfRule type="containsText" dxfId="38" priority="9" operator="containsText" text="Risco"/>
    <x:cfRule type="containsText" dxfId="39" priority="10" operator="containsText" text="Em até 30 dias"/>
  </x:conditionalFormatting>
  <x:conditionalFormatting sqref="K7:K56">
    <x:cfRule type="containsText" dxfId="62" priority="11" operator="containsText" text="Informe"/>
  </x:conditionalFormatting>
  <x:dataValidations count="2">
    <x:dataValidation type="list" sqref="A7:A56">
      <x:formula1>'Contratos'!$A$7:$A$56</x:formula1>
    </x:dataValidation>
    <x:dataValidation type="decimal" operator="between" sqref="B7:E56">
      <x:formula1>0</x:formula1>
      <x:formula2>1000000000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7da26ff4f7e4cef"/>
  </x:tableParts>
</x:worksheet>
</file>

<file path=xl/worksheets/sheet5.xml><?xml version="1.0" encoding="utf-8"?>
<x:worksheet xmlns:x="http://schemas.openxmlformats.org/spreadsheetml/2006/main">
  <x:sheetPr>
    <x:tabColor rgb="FFA8BDA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28" hidden="0" customWidth="1"/>
    <x:col min="5" max="5" width="66" hidden="0" customWidth="1"/>
    <x:col min="6" max="6" width="26" hidden="0" customWidth="1"/>
  </x:cols>
  <x:sheetData>
    <x:row r="1" ht="28" customHeight="1">
      <x:c r="A1" s="4"/>
      <x:c r="B1" s="4"/>
      <x:c r="C1" s="4"/>
      <x:c r="D1" s="4"/>
      <x:c r="E1" s="4"/>
      <x:c r="F1" s="4"/>
    </x:row>
    <x:row r="2" ht="35" customHeight="1">
      <x:c r="A2" s="5" t="str">
        <x:v>Alteracoes</x:v>
      </x:c>
      <x:c r="B2" s="4"/>
      <x:c r="C2" s="4"/>
      <x:c r="D2" s="4"/>
      <x:c r="E2" s="4"/>
      <x:c r="F2" s="4"/>
    </x:row>
    <x:row r="3" ht="28" customHeight="1">
      <x:c r="A3" s="4" t="str">
        <x:v>Registre o histórico. Atualize a vigência e os saldos nas abas correspondentes.</x:v>
      </x:c>
      <x:c r="B3" s="4"/>
      <x:c r="C3" s="4"/>
      <x:c r="D3" s="4"/>
      <x:c r="E3" s="4"/>
      <x:c r="F3" s="4"/>
    </x:row>
    <x:row r="4" ht="28" customHeight="1">
      <x:c r="A4" s="6"/>
      <x:c r="B4" s="6"/>
      <x:c r="C4" s="6"/>
      <x:c r="D4" s="6"/>
      <x:c r="E4" s="6"/>
      <x:c r="F4" s="6"/>
    </x:row>
    <x:row r="5" ht="28" customHeight="1">
      <x:c r="A5" s="3"/>
      <x:c r="B5" s="3"/>
      <x:c r="C5" s="3"/>
      <x:c r="D5" s="3"/>
      <x:c r="E5" s="3"/>
      <x:c r="F5" s="3"/>
    </x:row>
    <x:row r="6" ht="46" customHeight="1">
      <x:c r="A6" s="22" t="str">
        <x:v>ID registro</x:v>
      </x:c>
      <x:c r="B6" s="22" t="str">
        <x:v>Contrato</x:v>
      </x:c>
      <x:c r="C6" s="22" t="str">
        <x:v>Data</x:v>
      </x:c>
      <x:c r="D6" s="22" t="str">
        <x:v>Tipo</x:v>
      </x:c>
      <x:c r="E6" s="22" t="str">
        <x:v>Registro</x:v>
      </x:c>
      <x:c r="F6" s="22" t="str">
        <x:v>Cadastro</x:v>
      </x:c>
    </x:row>
    <x:row r="7" ht="40" customHeight="1">
      <x:c r="A7" s="23"/>
      <x:c r="B7" s="23"/>
      <x:c r="C7" s="13"/>
      <x:c r="D7" s="24"/>
      <x:c r="E7" s="24"/>
      <x:c r="F7" s="17" t="str">
        <x:f>IF(COUNTA(A7:E7)=0,"",IF(A7="","Informe ID",IF(COUNTIFS($A$7:$A$56,A7)&gt;1,"Duplicado",IF(COUNTIFS('Contratos'!$A$7:$A$56,B7)&lt;&gt;1,"Sem cadastro único",IF(OR(NOT(ISNUMBER(C7)),C7&lt;=0,D7="",E7=""),"Incompleto","OK")))))</x:f>
      </x:c>
    </x:row>
    <x:row r="8" ht="40" customHeight="1">
      <x:c r="A8" s="23"/>
      <x:c r="B8" s="23"/>
      <x:c r="C8" s="13"/>
      <x:c r="D8" s="24"/>
      <x:c r="E8" s="24"/>
      <x:c r="F8" s="17" t="str">
        <x:f>IF(COUNTA(A8:E8)=0,"",IF(A8="","Informe ID",IF(COUNTIFS($A$7:$A$56,A8)&gt;1,"Duplicado",IF(COUNTIFS('Contratos'!$A$7:$A$56,B8)&lt;&gt;1,"Sem cadastro único",IF(OR(NOT(ISNUMBER(C8)),C8&lt;=0,D8="",E8=""),"Incompleto","OK")))))</x:f>
      </x:c>
    </x:row>
    <x:row r="9" ht="40" customHeight="1">
      <x:c r="A9" s="23"/>
      <x:c r="B9" s="23"/>
      <x:c r="C9" s="13"/>
      <x:c r="D9" s="24"/>
      <x:c r="E9" s="24"/>
      <x:c r="F9" s="17" t="str">
        <x:f>IF(COUNTA(A9:E9)=0,"",IF(A9="","Informe ID",IF(COUNTIFS($A$7:$A$56,A9)&gt;1,"Duplicado",IF(COUNTIFS('Contratos'!$A$7:$A$56,B9)&lt;&gt;1,"Sem cadastro único",IF(OR(NOT(ISNUMBER(C9)),C9&lt;=0,D9="",E9=""),"Incompleto","OK")))))</x:f>
      </x:c>
    </x:row>
    <x:row r="10" ht="40" customHeight="1">
      <x:c r="A10" s="23"/>
      <x:c r="B10" s="23"/>
      <x:c r="C10" s="13"/>
      <x:c r="D10" s="24"/>
      <x:c r="E10" s="24"/>
      <x:c r="F10" s="17" t="str">
        <x:f>IF(COUNTA(A10:E10)=0,"",IF(A10="","Informe ID",IF(COUNTIFS($A$7:$A$56,A10)&gt;1,"Duplicado",IF(COUNTIFS('Contratos'!$A$7:$A$56,B10)&lt;&gt;1,"Sem cadastro único",IF(OR(NOT(ISNUMBER(C10)),C10&lt;=0,D10="",E10=""),"Incompleto","OK")))))</x:f>
      </x:c>
    </x:row>
    <x:row r="11" ht="40" customHeight="1">
      <x:c r="A11" s="23"/>
      <x:c r="B11" s="23"/>
      <x:c r="C11" s="13"/>
      <x:c r="D11" s="24"/>
      <x:c r="E11" s="24"/>
      <x:c r="F11" s="17" t="str">
        <x:f>IF(COUNTA(A11:E11)=0,"",IF(A11="","Informe ID",IF(COUNTIFS($A$7:$A$56,A11)&gt;1,"Duplicado",IF(COUNTIFS('Contratos'!$A$7:$A$56,B11)&lt;&gt;1,"Sem cadastro único",IF(OR(NOT(ISNUMBER(C11)),C11&lt;=0,D11="",E11=""),"Incompleto","OK")))))</x:f>
      </x:c>
    </x:row>
    <x:row r="12" ht="40" customHeight="1">
      <x:c r="A12" s="23"/>
      <x:c r="B12" s="23"/>
      <x:c r="C12" s="13"/>
      <x:c r="D12" s="24"/>
      <x:c r="E12" s="24"/>
      <x:c r="F12" s="17" t="str">
        <x:f>IF(COUNTA(A12:E12)=0,"",IF(A12="","Informe ID",IF(COUNTIFS($A$7:$A$56,A12)&gt;1,"Duplicado",IF(COUNTIFS('Contratos'!$A$7:$A$56,B12)&lt;&gt;1,"Sem cadastro único",IF(OR(NOT(ISNUMBER(C12)),C12&lt;=0,D12="",E12=""),"Incompleto","OK")))))</x:f>
      </x:c>
    </x:row>
    <x:row r="13" ht="40" customHeight="1">
      <x:c r="A13" s="23"/>
      <x:c r="B13" s="23"/>
      <x:c r="C13" s="13"/>
      <x:c r="D13" s="24"/>
      <x:c r="E13" s="24"/>
      <x:c r="F13" s="17" t="str">
        <x:f>IF(COUNTA(A13:E13)=0,"",IF(A13="","Informe ID",IF(COUNTIFS($A$7:$A$56,A13)&gt;1,"Duplicado",IF(COUNTIFS('Contratos'!$A$7:$A$56,B13)&lt;&gt;1,"Sem cadastro único",IF(OR(NOT(ISNUMBER(C13)),C13&lt;=0,D13="",E13=""),"Incompleto","OK")))))</x:f>
      </x:c>
    </x:row>
    <x:row r="14" ht="40" customHeight="1">
      <x:c r="A14" s="23"/>
      <x:c r="B14" s="23"/>
      <x:c r="C14" s="13"/>
      <x:c r="D14" s="24"/>
      <x:c r="E14" s="24"/>
      <x:c r="F14" s="17" t="str">
        <x:f>IF(COUNTA(A14:E14)=0,"",IF(A14="","Informe ID",IF(COUNTIFS($A$7:$A$56,A14)&gt;1,"Duplicado",IF(COUNTIFS('Contratos'!$A$7:$A$56,B14)&lt;&gt;1,"Sem cadastro único",IF(OR(NOT(ISNUMBER(C14)),C14&lt;=0,D14="",E14=""),"Incompleto","OK")))))</x:f>
      </x:c>
    </x:row>
    <x:row r="15" ht="40" customHeight="1">
      <x:c r="A15" s="23"/>
      <x:c r="B15" s="23"/>
      <x:c r="C15" s="13"/>
      <x:c r="D15" s="24"/>
      <x:c r="E15" s="24"/>
      <x:c r="F15" s="17" t="str">
        <x:f>IF(COUNTA(A15:E15)=0,"",IF(A15="","Informe ID",IF(COUNTIFS($A$7:$A$56,A15)&gt;1,"Duplicado",IF(COUNTIFS('Contratos'!$A$7:$A$56,B15)&lt;&gt;1,"Sem cadastro único",IF(OR(NOT(ISNUMBER(C15)),C15&lt;=0,D15="",E15=""),"Incompleto","OK")))))</x:f>
      </x:c>
    </x:row>
    <x:row r="16" ht="40" customHeight="1">
      <x:c r="A16" s="23"/>
      <x:c r="B16" s="23"/>
      <x:c r="C16" s="13"/>
      <x:c r="D16" s="24"/>
      <x:c r="E16" s="24"/>
      <x:c r="F16" s="17" t="str">
        <x:f>IF(COUNTA(A16:E16)=0,"",IF(A16="","Informe ID",IF(COUNTIFS($A$7:$A$56,A16)&gt;1,"Duplicado",IF(COUNTIFS('Contratos'!$A$7:$A$56,B16)&lt;&gt;1,"Sem cadastro único",IF(OR(NOT(ISNUMBER(C16)),C16&lt;=0,D16="",E16=""),"Incompleto","OK")))))</x:f>
      </x:c>
    </x:row>
    <x:row r="17" ht="40" customHeight="1">
      <x:c r="A17" s="23"/>
      <x:c r="B17" s="23"/>
      <x:c r="C17" s="13"/>
      <x:c r="D17" s="24"/>
      <x:c r="E17" s="24"/>
      <x:c r="F17" s="17" t="str">
        <x:f>IF(COUNTA(A17:E17)=0,"",IF(A17="","Informe ID",IF(COUNTIFS($A$7:$A$56,A17)&gt;1,"Duplicado",IF(COUNTIFS('Contratos'!$A$7:$A$56,B17)&lt;&gt;1,"Sem cadastro único",IF(OR(NOT(ISNUMBER(C17)),C17&lt;=0,D17="",E17=""),"Incompleto","OK")))))</x:f>
      </x:c>
    </x:row>
    <x:row r="18" ht="40" customHeight="1">
      <x:c r="A18" s="23"/>
      <x:c r="B18" s="23"/>
      <x:c r="C18" s="13"/>
      <x:c r="D18" s="24"/>
      <x:c r="E18" s="24"/>
      <x:c r="F18" s="17" t="str">
        <x:f>IF(COUNTA(A18:E18)=0,"",IF(A18="","Informe ID",IF(COUNTIFS($A$7:$A$56,A18)&gt;1,"Duplicado",IF(COUNTIFS('Contratos'!$A$7:$A$56,B18)&lt;&gt;1,"Sem cadastro único",IF(OR(NOT(ISNUMBER(C18)),C18&lt;=0,D18="",E18=""),"Incompleto","OK")))))</x:f>
      </x:c>
    </x:row>
    <x:row r="19" ht="40" customHeight="1">
      <x:c r="A19" s="23"/>
      <x:c r="B19" s="23"/>
      <x:c r="C19" s="13"/>
      <x:c r="D19" s="24"/>
      <x:c r="E19" s="24"/>
      <x:c r="F19" s="17" t="str">
        <x:f>IF(COUNTA(A19:E19)=0,"",IF(A19="","Informe ID",IF(COUNTIFS($A$7:$A$56,A19)&gt;1,"Duplicado",IF(COUNTIFS('Contratos'!$A$7:$A$56,B19)&lt;&gt;1,"Sem cadastro único",IF(OR(NOT(ISNUMBER(C19)),C19&lt;=0,D19="",E19=""),"Incompleto","OK")))))</x:f>
      </x:c>
    </x:row>
    <x:row r="20" ht="40" customHeight="1">
      <x:c r="A20" s="23"/>
      <x:c r="B20" s="23"/>
      <x:c r="C20" s="13"/>
      <x:c r="D20" s="24"/>
      <x:c r="E20" s="24"/>
      <x:c r="F20" s="17" t="str">
        <x:f>IF(COUNTA(A20:E20)=0,"",IF(A20="","Informe ID",IF(COUNTIFS($A$7:$A$56,A20)&gt;1,"Duplicado",IF(COUNTIFS('Contratos'!$A$7:$A$56,B20)&lt;&gt;1,"Sem cadastro único",IF(OR(NOT(ISNUMBER(C20)),C20&lt;=0,D20="",E20=""),"Incompleto","OK")))))</x:f>
      </x:c>
    </x:row>
    <x:row r="21" ht="40" customHeight="1">
      <x:c r="A21" s="23"/>
      <x:c r="B21" s="23"/>
      <x:c r="C21" s="13"/>
      <x:c r="D21" s="24"/>
      <x:c r="E21" s="24"/>
      <x:c r="F21" s="17" t="str">
        <x:f>IF(COUNTA(A21:E21)=0,"",IF(A21="","Informe ID",IF(COUNTIFS($A$7:$A$56,A21)&gt;1,"Duplicado",IF(COUNTIFS('Contratos'!$A$7:$A$56,B21)&lt;&gt;1,"Sem cadastro único",IF(OR(NOT(ISNUMBER(C21)),C21&lt;=0,D21="",E21=""),"Incompleto","OK")))))</x:f>
      </x:c>
    </x:row>
    <x:row r="22" ht="40" customHeight="1">
      <x:c r="A22" s="23"/>
      <x:c r="B22" s="23"/>
      <x:c r="C22" s="13"/>
      <x:c r="D22" s="24"/>
      <x:c r="E22" s="24"/>
      <x:c r="F22" s="17" t="str">
        <x:f>IF(COUNTA(A22:E22)=0,"",IF(A22="","Informe ID",IF(COUNTIFS($A$7:$A$56,A22)&gt;1,"Duplicado",IF(COUNTIFS('Contratos'!$A$7:$A$56,B22)&lt;&gt;1,"Sem cadastro único",IF(OR(NOT(ISNUMBER(C22)),C22&lt;=0,D22="",E22=""),"Incompleto","OK")))))</x:f>
      </x:c>
    </x:row>
    <x:row r="23" ht="40" customHeight="1">
      <x:c r="A23" s="23"/>
      <x:c r="B23" s="23"/>
      <x:c r="C23" s="13"/>
      <x:c r="D23" s="24"/>
      <x:c r="E23" s="24"/>
      <x:c r="F23" s="17" t="str">
        <x:f>IF(COUNTA(A23:E23)=0,"",IF(A23="","Informe ID",IF(COUNTIFS($A$7:$A$56,A23)&gt;1,"Duplicado",IF(COUNTIFS('Contratos'!$A$7:$A$56,B23)&lt;&gt;1,"Sem cadastro único",IF(OR(NOT(ISNUMBER(C23)),C23&lt;=0,D23="",E23=""),"Incompleto","OK")))))</x:f>
      </x:c>
    </x:row>
    <x:row r="24" ht="40" customHeight="1">
      <x:c r="A24" s="23"/>
      <x:c r="B24" s="23"/>
      <x:c r="C24" s="13"/>
      <x:c r="D24" s="24"/>
      <x:c r="E24" s="24"/>
      <x:c r="F24" s="17" t="str">
        <x:f>IF(COUNTA(A24:E24)=0,"",IF(A24="","Informe ID",IF(COUNTIFS($A$7:$A$56,A24)&gt;1,"Duplicado",IF(COUNTIFS('Contratos'!$A$7:$A$56,B24)&lt;&gt;1,"Sem cadastro único",IF(OR(NOT(ISNUMBER(C24)),C24&lt;=0,D24="",E24=""),"Incompleto","OK")))))</x:f>
      </x:c>
    </x:row>
    <x:row r="25" ht="40" customHeight="1">
      <x:c r="A25" s="23"/>
      <x:c r="B25" s="23"/>
      <x:c r="C25" s="13"/>
      <x:c r="D25" s="24"/>
      <x:c r="E25" s="24"/>
      <x:c r="F25" s="17" t="str">
        <x:f>IF(COUNTA(A25:E25)=0,"",IF(A25="","Informe ID",IF(COUNTIFS($A$7:$A$56,A25)&gt;1,"Duplicado",IF(COUNTIFS('Contratos'!$A$7:$A$56,B25)&lt;&gt;1,"Sem cadastro único",IF(OR(NOT(ISNUMBER(C25)),C25&lt;=0,D25="",E25=""),"Incompleto","OK")))))</x:f>
      </x:c>
    </x:row>
    <x:row r="26" ht="40" customHeight="1">
      <x:c r="A26" s="23"/>
      <x:c r="B26" s="23"/>
      <x:c r="C26" s="13"/>
      <x:c r="D26" s="24"/>
      <x:c r="E26" s="24"/>
      <x:c r="F26" s="17" t="str">
        <x:f>IF(COUNTA(A26:E26)=0,"",IF(A26="","Informe ID",IF(COUNTIFS($A$7:$A$56,A26)&gt;1,"Duplicado",IF(COUNTIFS('Contratos'!$A$7:$A$56,B26)&lt;&gt;1,"Sem cadastro único",IF(OR(NOT(ISNUMBER(C26)),C26&lt;=0,D26="",E26=""),"Incompleto","OK")))))</x:f>
      </x:c>
    </x:row>
    <x:row r="27" ht="40" customHeight="1">
      <x:c r="A27" s="23"/>
      <x:c r="B27" s="23"/>
      <x:c r="C27" s="13"/>
      <x:c r="D27" s="24"/>
      <x:c r="E27" s="24"/>
      <x:c r="F27" s="17" t="str">
        <x:f>IF(COUNTA(A27:E27)=0,"",IF(A27="","Informe ID",IF(COUNTIFS($A$7:$A$56,A27)&gt;1,"Duplicado",IF(COUNTIFS('Contratos'!$A$7:$A$56,B27)&lt;&gt;1,"Sem cadastro único",IF(OR(NOT(ISNUMBER(C27)),C27&lt;=0,D27="",E27=""),"Incompleto","OK")))))</x:f>
      </x:c>
    </x:row>
    <x:row r="28" ht="40" customHeight="1">
      <x:c r="A28" s="23"/>
      <x:c r="B28" s="23"/>
      <x:c r="C28" s="13"/>
      <x:c r="D28" s="24"/>
      <x:c r="E28" s="24"/>
      <x:c r="F28" s="17" t="str">
        <x:f>IF(COUNTA(A28:E28)=0,"",IF(A28="","Informe ID",IF(COUNTIFS($A$7:$A$56,A28)&gt;1,"Duplicado",IF(COUNTIFS('Contratos'!$A$7:$A$56,B28)&lt;&gt;1,"Sem cadastro único",IF(OR(NOT(ISNUMBER(C28)),C28&lt;=0,D28="",E28=""),"Incompleto","OK")))))</x:f>
      </x:c>
    </x:row>
    <x:row r="29" ht="40" customHeight="1">
      <x:c r="A29" s="23"/>
      <x:c r="B29" s="23"/>
      <x:c r="C29" s="13"/>
      <x:c r="D29" s="24"/>
      <x:c r="E29" s="24"/>
      <x:c r="F29" s="17" t="str">
        <x:f>IF(COUNTA(A29:E29)=0,"",IF(A29="","Informe ID",IF(COUNTIFS($A$7:$A$56,A29)&gt;1,"Duplicado",IF(COUNTIFS('Contratos'!$A$7:$A$56,B29)&lt;&gt;1,"Sem cadastro único",IF(OR(NOT(ISNUMBER(C29)),C29&lt;=0,D29="",E29=""),"Incompleto","OK")))))</x:f>
      </x:c>
    </x:row>
    <x:row r="30" ht="40" customHeight="1">
      <x:c r="A30" s="23"/>
      <x:c r="B30" s="23"/>
      <x:c r="C30" s="13"/>
      <x:c r="D30" s="24"/>
      <x:c r="E30" s="24"/>
      <x:c r="F30" s="17" t="str">
        <x:f>IF(COUNTA(A30:E30)=0,"",IF(A30="","Informe ID",IF(COUNTIFS($A$7:$A$56,A30)&gt;1,"Duplicado",IF(COUNTIFS('Contratos'!$A$7:$A$56,B30)&lt;&gt;1,"Sem cadastro único",IF(OR(NOT(ISNUMBER(C30)),C30&lt;=0,D30="",E30=""),"Incompleto","OK")))))</x:f>
      </x:c>
    </x:row>
    <x:row r="31" ht="40" customHeight="1">
      <x:c r="A31" s="23"/>
      <x:c r="B31" s="23"/>
      <x:c r="C31" s="13"/>
      <x:c r="D31" s="24"/>
      <x:c r="E31" s="24"/>
      <x:c r="F31" s="17" t="str">
        <x:f>IF(COUNTA(A31:E31)=0,"",IF(A31="","Informe ID",IF(COUNTIFS($A$7:$A$56,A31)&gt;1,"Duplicado",IF(COUNTIFS('Contratos'!$A$7:$A$56,B31)&lt;&gt;1,"Sem cadastro único",IF(OR(NOT(ISNUMBER(C31)),C31&lt;=0,D31="",E31=""),"Incompleto","OK")))))</x:f>
      </x:c>
    </x:row>
    <x:row r="32" ht="40" customHeight="1">
      <x:c r="A32" s="23"/>
      <x:c r="B32" s="23"/>
      <x:c r="C32" s="13"/>
      <x:c r="D32" s="24"/>
      <x:c r="E32" s="24"/>
      <x:c r="F32" s="17" t="str">
        <x:f>IF(COUNTA(A32:E32)=0,"",IF(A32="","Informe ID",IF(COUNTIFS($A$7:$A$56,A32)&gt;1,"Duplicado",IF(COUNTIFS('Contratos'!$A$7:$A$56,B32)&lt;&gt;1,"Sem cadastro único",IF(OR(NOT(ISNUMBER(C32)),C32&lt;=0,D32="",E32=""),"Incompleto","OK")))))</x:f>
      </x:c>
    </x:row>
    <x:row r="33" ht="40" customHeight="1">
      <x:c r="A33" s="23"/>
      <x:c r="B33" s="23"/>
      <x:c r="C33" s="13"/>
      <x:c r="D33" s="24"/>
      <x:c r="E33" s="24"/>
      <x:c r="F33" s="17" t="str">
        <x:f>IF(COUNTA(A33:E33)=0,"",IF(A33="","Informe ID",IF(COUNTIFS($A$7:$A$56,A33)&gt;1,"Duplicado",IF(COUNTIFS('Contratos'!$A$7:$A$56,B33)&lt;&gt;1,"Sem cadastro único",IF(OR(NOT(ISNUMBER(C33)),C33&lt;=0,D33="",E33=""),"Incompleto","OK")))))</x:f>
      </x:c>
    </x:row>
    <x:row r="34" ht="40" customHeight="1">
      <x:c r="A34" s="23"/>
      <x:c r="B34" s="23"/>
      <x:c r="C34" s="13"/>
      <x:c r="D34" s="24"/>
      <x:c r="E34" s="24"/>
      <x:c r="F34" s="17" t="str">
        <x:f>IF(COUNTA(A34:E34)=0,"",IF(A34="","Informe ID",IF(COUNTIFS($A$7:$A$56,A34)&gt;1,"Duplicado",IF(COUNTIFS('Contratos'!$A$7:$A$56,B34)&lt;&gt;1,"Sem cadastro único",IF(OR(NOT(ISNUMBER(C34)),C34&lt;=0,D34="",E34=""),"Incompleto","OK")))))</x:f>
      </x:c>
    </x:row>
    <x:row r="35" ht="40" customHeight="1">
      <x:c r="A35" s="23"/>
      <x:c r="B35" s="23"/>
      <x:c r="C35" s="13"/>
      <x:c r="D35" s="24"/>
      <x:c r="E35" s="24"/>
      <x:c r="F35" s="17" t="str">
        <x:f>IF(COUNTA(A35:E35)=0,"",IF(A35="","Informe ID",IF(COUNTIFS($A$7:$A$56,A35)&gt;1,"Duplicado",IF(COUNTIFS('Contratos'!$A$7:$A$56,B35)&lt;&gt;1,"Sem cadastro único",IF(OR(NOT(ISNUMBER(C35)),C35&lt;=0,D35="",E35=""),"Incompleto","OK")))))</x:f>
      </x:c>
    </x:row>
    <x:row r="36" ht="40" customHeight="1">
      <x:c r="A36" s="23"/>
      <x:c r="B36" s="23"/>
      <x:c r="C36" s="13"/>
      <x:c r="D36" s="24"/>
      <x:c r="E36" s="24"/>
      <x:c r="F36" s="17" t="str">
        <x:f>IF(COUNTA(A36:E36)=0,"",IF(A36="","Informe ID",IF(COUNTIFS($A$7:$A$56,A36)&gt;1,"Duplicado",IF(COUNTIFS('Contratos'!$A$7:$A$56,B36)&lt;&gt;1,"Sem cadastro único",IF(OR(NOT(ISNUMBER(C36)),C36&lt;=0,D36="",E36=""),"Incompleto","OK")))))</x:f>
      </x:c>
    </x:row>
    <x:row r="37" ht="40" customHeight="1">
      <x:c r="A37" s="23"/>
      <x:c r="B37" s="23"/>
      <x:c r="C37" s="13"/>
      <x:c r="D37" s="24"/>
      <x:c r="E37" s="24"/>
      <x:c r="F37" s="17" t="str">
        <x:f>IF(COUNTA(A37:E37)=0,"",IF(A37="","Informe ID",IF(COUNTIFS($A$7:$A$56,A37)&gt;1,"Duplicado",IF(COUNTIFS('Contratos'!$A$7:$A$56,B37)&lt;&gt;1,"Sem cadastro único",IF(OR(NOT(ISNUMBER(C37)),C37&lt;=0,D37="",E37=""),"Incompleto","OK")))))</x:f>
      </x:c>
    </x:row>
    <x:row r="38" ht="40" customHeight="1">
      <x:c r="A38" s="23"/>
      <x:c r="B38" s="23"/>
      <x:c r="C38" s="13"/>
      <x:c r="D38" s="24"/>
      <x:c r="E38" s="24"/>
      <x:c r="F38" s="17" t="str">
        <x:f>IF(COUNTA(A38:E38)=0,"",IF(A38="","Informe ID",IF(COUNTIFS($A$7:$A$56,A38)&gt;1,"Duplicado",IF(COUNTIFS('Contratos'!$A$7:$A$56,B38)&lt;&gt;1,"Sem cadastro único",IF(OR(NOT(ISNUMBER(C38)),C38&lt;=0,D38="",E38=""),"Incompleto","OK")))))</x:f>
      </x:c>
    </x:row>
    <x:row r="39" ht="40" customHeight="1">
      <x:c r="A39" s="23"/>
      <x:c r="B39" s="23"/>
      <x:c r="C39" s="13"/>
      <x:c r="D39" s="24"/>
      <x:c r="E39" s="24"/>
      <x:c r="F39" s="17" t="str">
        <x:f>IF(COUNTA(A39:E39)=0,"",IF(A39="","Informe ID",IF(COUNTIFS($A$7:$A$56,A39)&gt;1,"Duplicado",IF(COUNTIFS('Contratos'!$A$7:$A$56,B39)&lt;&gt;1,"Sem cadastro único",IF(OR(NOT(ISNUMBER(C39)),C39&lt;=0,D39="",E39=""),"Incompleto","OK")))))</x:f>
      </x:c>
    </x:row>
    <x:row r="40" ht="40" customHeight="1">
      <x:c r="A40" s="23"/>
      <x:c r="B40" s="23"/>
      <x:c r="C40" s="13"/>
      <x:c r="D40" s="24"/>
      <x:c r="E40" s="24"/>
      <x:c r="F40" s="17" t="str">
        <x:f>IF(COUNTA(A40:E40)=0,"",IF(A40="","Informe ID",IF(COUNTIFS($A$7:$A$56,A40)&gt;1,"Duplicado",IF(COUNTIFS('Contratos'!$A$7:$A$56,B40)&lt;&gt;1,"Sem cadastro único",IF(OR(NOT(ISNUMBER(C40)),C40&lt;=0,D40="",E40=""),"Incompleto","OK")))))</x:f>
      </x:c>
    </x:row>
    <x:row r="41" ht="40" customHeight="1">
      <x:c r="A41" s="23"/>
      <x:c r="B41" s="23"/>
      <x:c r="C41" s="13"/>
      <x:c r="D41" s="24"/>
      <x:c r="E41" s="24"/>
      <x:c r="F41" s="17" t="str">
        <x:f>IF(COUNTA(A41:E41)=0,"",IF(A41="","Informe ID",IF(COUNTIFS($A$7:$A$56,A41)&gt;1,"Duplicado",IF(COUNTIFS('Contratos'!$A$7:$A$56,B41)&lt;&gt;1,"Sem cadastro único",IF(OR(NOT(ISNUMBER(C41)),C41&lt;=0,D41="",E41=""),"Incompleto","OK")))))</x:f>
      </x:c>
    </x:row>
    <x:row r="42" ht="40" customHeight="1">
      <x:c r="A42" s="23"/>
      <x:c r="B42" s="23"/>
      <x:c r="C42" s="13"/>
      <x:c r="D42" s="24"/>
      <x:c r="E42" s="24"/>
      <x:c r="F42" s="17" t="str">
        <x:f>IF(COUNTA(A42:E42)=0,"",IF(A42="","Informe ID",IF(COUNTIFS($A$7:$A$56,A42)&gt;1,"Duplicado",IF(COUNTIFS('Contratos'!$A$7:$A$56,B42)&lt;&gt;1,"Sem cadastro único",IF(OR(NOT(ISNUMBER(C42)),C42&lt;=0,D42="",E42=""),"Incompleto","OK")))))</x:f>
      </x:c>
    </x:row>
    <x:row r="43" ht="40" customHeight="1">
      <x:c r="A43" s="23"/>
      <x:c r="B43" s="23"/>
      <x:c r="C43" s="13"/>
      <x:c r="D43" s="24"/>
      <x:c r="E43" s="24"/>
      <x:c r="F43" s="17" t="str">
        <x:f>IF(COUNTA(A43:E43)=0,"",IF(A43="","Informe ID",IF(COUNTIFS($A$7:$A$56,A43)&gt;1,"Duplicado",IF(COUNTIFS('Contratos'!$A$7:$A$56,B43)&lt;&gt;1,"Sem cadastro único",IF(OR(NOT(ISNUMBER(C43)),C43&lt;=0,D43="",E43=""),"Incompleto","OK")))))</x:f>
      </x:c>
    </x:row>
    <x:row r="44" ht="40" customHeight="1">
      <x:c r="A44" s="23"/>
      <x:c r="B44" s="23"/>
      <x:c r="C44" s="13"/>
      <x:c r="D44" s="24"/>
      <x:c r="E44" s="24"/>
      <x:c r="F44" s="17" t="str">
        <x:f>IF(COUNTA(A44:E44)=0,"",IF(A44="","Informe ID",IF(COUNTIFS($A$7:$A$56,A44)&gt;1,"Duplicado",IF(COUNTIFS('Contratos'!$A$7:$A$56,B44)&lt;&gt;1,"Sem cadastro único",IF(OR(NOT(ISNUMBER(C44)),C44&lt;=0,D44="",E44=""),"Incompleto","OK")))))</x:f>
      </x:c>
    </x:row>
    <x:row r="45" ht="40" customHeight="1">
      <x:c r="A45" s="23"/>
      <x:c r="B45" s="23"/>
      <x:c r="C45" s="13"/>
      <x:c r="D45" s="24"/>
      <x:c r="E45" s="24"/>
      <x:c r="F45" s="17" t="str">
        <x:f>IF(COUNTA(A45:E45)=0,"",IF(A45="","Informe ID",IF(COUNTIFS($A$7:$A$56,A45)&gt;1,"Duplicado",IF(COUNTIFS('Contratos'!$A$7:$A$56,B45)&lt;&gt;1,"Sem cadastro único",IF(OR(NOT(ISNUMBER(C45)),C45&lt;=0,D45="",E45=""),"Incompleto","OK")))))</x:f>
      </x:c>
    </x:row>
    <x:row r="46" ht="40" customHeight="1">
      <x:c r="A46" s="23"/>
      <x:c r="B46" s="23"/>
      <x:c r="C46" s="13"/>
      <x:c r="D46" s="24"/>
      <x:c r="E46" s="24"/>
      <x:c r="F46" s="17" t="str">
        <x:f>IF(COUNTA(A46:E46)=0,"",IF(A46="","Informe ID",IF(COUNTIFS($A$7:$A$56,A46)&gt;1,"Duplicado",IF(COUNTIFS('Contratos'!$A$7:$A$56,B46)&lt;&gt;1,"Sem cadastro único",IF(OR(NOT(ISNUMBER(C46)),C46&lt;=0,D46="",E46=""),"Incompleto","OK")))))</x:f>
      </x:c>
    </x:row>
    <x:row r="47" ht="40" customHeight="1">
      <x:c r="A47" s="23"/>
      <x:c r="B47" s="23"/>
      <x:c r="C47" s="13"/>
      <x:c r="D47" s="24"/>
      <x:c r="E47" s="24"/>
      <x:c r="F47" s="17" t="str">
        <x:f>IF(COUNTA(A47:E47)=0,"",IF(A47="","Informe ID",IF(COUNTIFS($A$7:$A$56,A47)&gt;1,"Duplicado",IF(COUNTIFS('Contratos'!$A$7:$A$56,B47)&lt;&gt;1,"Sem cadastro único",IF(OR(NOT(ISNUMBER(C47)),C47&lt;=0,D47="",E47=""),"Incompleto","OK")))))</x:f>
      </x:c>
    </x:row>
    <x:row r="48" ht="40" customHeight="1">
      <x:c r="A48" s="23"/>
      <x:c r="B48" s="23"/>
      <x:c r="C48" s="13"/>
      <x:c r="D48" s="24"/>
      <x:c r="E48" s="24"/>
      <x:c r="F48" s="17" t="str">
        <x:f>IF(COUNTA(A48:E48)=0,"",IF(A48="","Informe ID",IF(COUNTIFS($A$7:$A$56,A48)&gt;1,"Duplicado",IF(COUNTIFS('Contratos'!$A$7:$A$56,B48)&lt;&gt;1,"Sem cadastro único",IF(OR(NOT(ISNUMBER(C48)),C48&lt;=0,D48="",E48=""),"Incompleto","OK")))))</x:f>
      </x:c>
    </x:row>
    <x:row r="49" ht="40" customHeight="1">
      <x:c r="A49" s="23"/>
      <x:c r="B49" s="23"/>
      <x:c r="C49" s="13"/>
      <x:c r="D49" s="24"/>
      <x:c r="E49" s="24"/>
      <x:c r="F49" s="17" t="str">
        <x:f>IF(COUNTA(A49:E49)=0,"",IF(A49="","Informe ID",IF(COUNTIFS($A$7:$A$56,A49)&gt;1,"Duplicado",IF(COUNTIFS('Contratos'!$A$7:$A$56,B49)&lt;&gt;1,"Sem cadastro único",IF(OR(NOT(ISNUMBER(C49)),C49&lt;=0,D49="",E49=""),"Incompleto","OK")))))</x:f>
      </x:c>
    </x:row>
    <x:row r="50" ht="40" customHeight="1">
      <x:c r="A50" s="23"/>
      <x:c r="B50" s="23"/>
      <x:c r="C50" s="13"/>
      <x:c r="D50" s="24"/>
      <x:c r="E50" s="24"/>
      <x:c r="F50" s="17" t="str">
        <x:f>IF(COUNTA(A50:E50)=0,"",IF(A50="","Informe ID",IF(COUNTIFS($A$7:$A$56,A50)&gt;1,"Duplicado",IF(COUNTIFS('Contratos'!$A$7:$A$56,B50)&lt;&gt;1,"Sem cadastro único",IF(OR(NOT(ISNUMBER(C50)),C50&lt;=0,D50="",E50=""),"Incompleto","OK")))))</x:f>
      </x:c>
    </x:row>
    <x:row r="51" ht="40" customHeight="1">
      <x:c r="A51" s="23"/>
      <x:c r="B51" s="23"/>
      <x:c r="C51" s="13"/>
      <x:c r="D51" s="24"/>
      <x:c r="E51" s="24"/>
      <x:c r="F51" s="17" t="str">
        <x:f>IF(COUNTA(A51:E51)=0,"",IF(A51="","Informe ID",IF(COUNTIFS($A$7:$A$56,A51)&gt;1,"Duplicado",IF(COUNTIFS('Contratos'!$A$7:$A$56,B51)&lt;&gt;1,"Sem cadastro único",IF(OR(NOT(ISNUMBER(C51)),C51&lt;=0,D51="",E51=""),"Incompleto","OK")))))</x:f>
      </x:c>
    </x:row>
    <x:row r="52" ht="40" customHeight="1">
      <x:c r="A52" s="23"/>
      <x:c r="B52" s="23"/>
      <x:c r="C52" s="13"/>
      <x:c r="D52" s="24"/>
      <x:c r="E52" s="24"/>
      <x:c r="F52" s="17" t="str">
        <x:f>IF(COUNTA(A52:E52)=0,"",IF(A52="","Informe ID",IF(COUNTIFS($A$7:$A$56,A52)&gt;1,"Duplicado",IF(COUNTIFS('Contratos'!$A$7:$A$56,B52)&lt;&gt;1,"Sem cadastro único",IF(OR(NOT(ISNUMBER(C52)),C52&lt;=0,D52="",E52=""),"Incompleto","OK")))))</x:f>
      </x:c>
    </x:row>
    <x:row r="53" ht="40" customHeight="1">
      <x:c r="A53" s="23"/>
      <x:c r="B53" s="23"/>
      <x:c r="C53" s="13"/>
      <x:c r="D53" s="24"/>
      <x:c r="E53" s="24"/>
      <x:c r="F53" s="17" t="str">
        <x:f>IF(COUNTA(A53:E53)=0,"",IF(A53="","Informe ID",IF(COUNTIFS($A$7:$A$56,A53)&gt;1,"Duplicado",IF(COUNTIFS('Contratos'!$A$7:$A$56,B53)&lt;&gt;1,"Sem cadastro único",IF(OR(NOT(ISNUMBER(C53)),C53&lt;=0,D53="",E53=""),"Incompleto","OK")))))</x:f>
      </x:c>
    </x:row>
    <x:row r="54" ht="40" customHeight="1">
      <x:c r="A54" s="23"/>
      <x:c r="B54" s="23"/>
      <x:c r="C54" s="13"/>
      <x:c r="D54" s="24"/>
      <x:c r="E54" s="24"/>
      <x:c r="F54" s="17" t="str">
        <x:f>IF(COUNTA(A54:E54)=0,"",IF(A54="","Informe ID",IF(COUNTIFS($A$7:$A$56,A54)&gt;1,"Duplicado",IF(COUNTIFS('Contratos'!$A$7:$A$56,B54)&lt;&gt;1,"Sem cadastro único",IF(OR(NOT(ISNUMBER(C54)),C54&lt;=0,D54="",E54=""),"Incompleto","OK")))))</x:f>
      </x:c>
    </x:row>
    <x:row r="55" ht="40" customHeight="1">
      <x:c r="A55" s="23"/>
      <x:c r="B55" s="23"/>
      <x:c r="C55" s="13"/>
      <x:c r="D55" s="24"/>
      <x:c r="E55" s="24"/>
      <x:c r="F55" s="17" t="str">
        <x:f>IF(COUNTA(A55:E55)=0,"",IF(A55="","Informe ID",IF(COUNTIFS($A$7:$A$56,A55)&gt;1,"Duplicado",IF(COUNTIFS('Contratos'!$A$7:$A$56,B55)&lt;&gt;1,"Sem cadastro único",IF(OR(NOT(ISNUMBER(C55)),C55&lt;=0,D55="",E55=""),"Incompleto","OK")))))</x:f>
      </x:c>
    </x:row>
    <x:row r="56" ht="40" customHeight="1">
      <x:c r="A56" s="23"/>
      <x:c r="B56" s="23"/>
      <x:c r="C56" s="13"/>
      <x:c r="D56" s="24"/>
      <x:c r="E56" s="24"/>
      <x:c r="F56" s="17" t="str">
        <x:f>IF(COUNTA(A56:E56)=0,"",IF(A56="","Informe ID",IF(COUNTIFS($A$7:$A$56,A56)&gt;1,"Duplicado",IF(COUNTIFS('Contratos'!$A$7:$A$56,B56)&lt;&gt;1,"Sem cadastro único",IF(OR(NOT(ISNUMBER(C56)),C56&lt;=0,D56="",E56=""),"Incompleto","OK")))))</x:f>
      </x:c>
    </x:row>
    <x:row r="57" ht="28" customHeight="1">
      <x:c r="A57" s="3"/>
      <x:c r="B57" s="3"/>
      <x:c r="C57" s="3"/>
      <x:c r="D57" s="3"/>
      <x:c r="E57" s="3"/>
      <x:c r="F57" s="3"/>
    </x:row>
  </x:sheetData>
  <x:conditionalFormatting sqref="F7:F56">
    <x:cfRule type="containsText" dxfId="40" priority="1" operator="containsText" text="Vencido"/>
    <x:cfRule type="containsText" dxfId="41" priority="2" operator="containsText" text="Vence hoje"/>
    <x:cfRule type="containsText" dxfId="42" priority="3" operator="containsText" text="Revisar"/>
    <x:cfRule type="containsText" dxfId="43" priority="4" operator="containsText" text="Incompleto"/>
    <x:cfRule type="containsText" dxfId="44" priority="5" operator="containsText" text="Duplicado"/>
    <x:cfRule type="containsText" dxfId="45" priority="6" operator="containsText" text="Sem cadastro"/>
    <x:cfRule type="containsText" dxfId="46" priority="7" operator="containsText" text="Conferir"/>
    <x:cfRule type="containsText" dxfId="47" priority="8" operator="containsText" text="Aluguel indevido"/>
    <x:cfRule type="containsText" dxfId="48" priority="9" operator="containsText" text="Risco"/>
    <x:cfRule type="containsText" dxfId="49" priority="10" operator="containsText" text="Em até 30 dias"/>
    <x:cfRule type="containsText" dxfId="63" priority="11" operator="containsText" text="Informe"/>
  </x:conditionalFormatting>
  <x:dataValidations count="1">
    <x:dataValidation type="list" sqref="B7:B56">
      <x:formula1>'Contratos'!$A$7:$A$56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29051a31cf465f"/>
  </x:tableParts>
</x:worksheet>
</file>

<file path=xl/worksheets/sheet6.xml><?xml version="1.0" encoding="utf-8"?>
<x:worksheet xmlns:x="http://schemas.openxmlformats.org/spreadsheetml/2006/main">
  <x:sheetPr>
    <x:tabColor rgb="FFB29B65"/>
  </x:sheetPr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3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8" customHeight="1">
      <x:c r="A1" s="4"/>
      <x:c r="B1" s="4"/>
      <x:c r="C1" s="4"/>
      <x:c r="D1" s="4"/>
      <x:c r="E1" s="4"/>
      <x:c r="F1" s="4"/>
    </x:row>
    <x:row r="2" ht="35" customHeight="1">
      <x:c r="A2" s="5" t="str">
        <x:v>Configuração e listas</x:v>
      </x:c>
      <x:c r="B2" s="4"/>
      <x:c r="C2" s="4"/>
      <x:c r="D2" s="4"/>
      <x:c r="E2" s="4"/>
      <x:c r="F2" s="4"/>
    </x:row>
    <x:row r="3" ht="28" customHeight="1">
      <x:c r="A3" s="4"/>
      <x:c r="B3" s="4"/>
      <x:c r="C3" s="4"/>
      <x:c r="D3" s="4"/>
      <x:c r="E3" s="4"/>
      <x:c r="F3" s="4"/>
    </x:row>
    <x:row r="4" ht="28" customHeight="1">
      <x:c r="A4" s="8" t="str">
        <x:v>Campo</x:v>
      </x:c>
      <x:c r="B4" s="8" t="str">
        <x:v>Preencha aqui</x:v>
      </x:c>
      <x:c r="C4" s="6"/>
      <x:c r="D4" s="6"/>
      <x:c r="E4" s="6"/>
      <x:c r="F4" s="6"/>
    </x:row>
    <x:row r="5" ht="28" customHeight="1">
      <x:c r="A5" s="3" t="str">
        <x:v>Data de referência</x:v>
      </x:c>
      <x:c r="B5" s="13" t="n">
        <x:v>46282</x:v>
      </x:c>
      <x:c r="C5" s="3"/>
      <x:c r="D5" s="3" t="str">
        <x:v>Células amarelas: preencher</x:v>
      </x:c>
      <x:c r="E5" s="3"/>
      <x:c r="F5" s="3"/>
    </x:row>
    <x:row r="6" ht="28" customHeight="1">
      <x:c r="A6" s="3" t="str">
        <x:v>Mês de competência</x:v>
      </x:c>
      <x:c r="B6" s="14" t="n">
        <x:v>46266</x:v>
      </x:c>
      <x:c r="C6" s="3"/>
      <x:c r="D6" s="3" t="str">
        <x:v>Células verdes: cálculo</x:v>
      </x:c>
      <x:c r="E6" s="3"/>
      <x:c r="F6" s="3"/>
    </x:row>
    <x:row r="7" ht="28" customHeight="1">
      <x:c r="A7" s="3" t="str">
        <x:v>Meses a projetar</x:v>
      </x:c>
      <x:c r="B7" s="15" t="n">
        <x:v>3</x:v>
      </x:c>
      <x:c r="C7" s="3"/>
      <x:c r="D7" s="3"/>
      <x:c r="E7" s="3"/>
      <x:c r="F7" s="3"/>
    </x:row>
    <x:row r="8" ht="28" customHeight="1">
      <x:c r="A8" s="3" t="str">
        <x:v>Configuração</x:v>
      </x:c>
      <x:c r="B8" s="17" t="str">
        <x:f>IF(AND(ISNUMBER(B5),B5&gt;0,B5&lt;2958466,ISNUMBER(B6),B6&gt;0,B6&lt;2958466),IF(DAY(B6)=1,"OK","Use dia 1 no mês"),"Informe datas válidas")</x:f>
        <x:v>OK</x:v>
      </x:c>
      <x:c r="C8" s="3"/>
      <x:c r="D8" s="18" t="str">
        <x:v>Use datas completas e valores numéricos.</x:v>
      </x:c>
      <x:c r="E8" s="18"/>
      <x:c r="F8" s="18"/>
    </x:row>
    <x:row r="9" ht="28" customHeight="1">
      <x:c r="A9" s="3"/>
      <x:c r="B9" s="3"/>
      <x:c r="C9" s="3"/>
      <x:c r="D9" s="18" t="str">
        <x:v>No mês de competência, informe o dia 1.</x:v>
      </x:c>
      <x:c r="E9" s="18"/>
      <x:c r="F9" s="18"/>
    </x:row>
    <x:row r="10" ht="28" customHeight="1">
      <x:c r="A10" s="3" t="str">
        <x:v>Documentos</x:v>
      </x:c>
      <x:c r="B10" s="3" t="str">
        <x:v>Estado administrativo</x:v>
      </x:c>
      <x:c r="C10" s="3"/>
      <x:c r="D10" s="3"/>
      <x:c r="E10" s="3"/>
      <x:c r="F10" s="3"/>
    </x:row>
    <x:row r="11" ht="28" customHeight="1">
      <x:c r="A11" s="3" t="str">
        <x:v>Completa</x:v>
      </x:c>
      <x:c r="B11" s="3" t="str">
        <x:v>Ativo</x:v>
      </x:c>
      <x:c r="C11" s="3"/>
      <x:c r="D11" s="3" t="str">
        <x:v>Exemplos criados para o portfólio.</x:v>
      </x:c>
      <x:c r="E11" s="3"/>
      <x:c r="F11" s="3"/>
    </x:row>
    <x:row r="12" ht="28" customHeight="1">
      <x:c r="A12" s="3" t="str">
        <x:v>Pendente</x:v>
      </x:c>
      <x:c r="B12" s="3" t="str">
        <x:v>Encerrado</x:v>
      </x:c>
      <x:c r="C12" s="3"/>
      <x:c r="D12" s="3"/>
      <x:c r="E12" s="3"/>
      <x:c r="F12" s="3"/>
    </x:row>
    <x:row r="13" ht="28" customHeight="1">
      <x:c r="A13" s="3"/>
      <x:c r="B13" s="3"/>
      <x:c r="C13" s="3"/>
      <x:c r="D13" s="3"/>
      <x:c r="E13" s="3"/>
      <x:c r="F13" s="3"/>
    </x:row>
    <x:row r="14" ht="28" customHeight="1">
      <x:c r="A14" s="3"/>
      <x:c r="B14" s="3"/>
      <x:c r="C14" s="3"/>
      <x:c r="D14" s="3"/>
      <x:c r="E14" s="3"/>
      <x:c r="F14" s="3"/>
    </x:row>
    <x:row r="15" ht="28" customHeight="1">
      <x:c r="A15" s="3"/>
      <x:c r="B15" s="3"/>
      <x:c r="C15" s="3"/>
      <x:c r="D15" s="3"/>
      <x:c r="E15" s="3"/>
      <x:c r="F15" s="3"/>
    </x:row>
    <x:row r="16" ht="28" customHeight="1">
      <x:c r="A16" s="3"/>
      <x:c r="B16" s="3"/>
      <x:c r="C16" s="3"/>
      <x:c r="D16" s="3"/>
      <x:c r="E16" s="3"/>
      <x:c r="F16" s="3"/>
    </x:row>
    <x:row r="17" ht="28" customHeight="1">
      <x:c r="A17" s="3"/>
      <x:c r="B17" s="3"/>
      <x:c r="C17" s="3"/>
      <x:c r="D17" s="3"/>
      <x:c r="E17" s="3"/>
      <x:c r="F17" s="3"/>
    </x:row>
    <x:row r="18" ht="28" customHeight="1">
      <x:c r="A18" s="3"/>
      <x:c r="B18" s="3"/>
      <x:c r="C18" s="3"/>
      <x:c r="D18" s="3"/>
      <x:c r="E18" s="3"/>
      <x:c r="F18" s="3"/>
    </x:row>
    <x:row r="19" ht="28" customHeight="1">
      <x:c r="A19" s="3"/>
      <x:c r="B19" s="3"/>
      <x:c r="C19" s="3"/>
      <x:c r="D19" s="3"/>
      <x:c r="E19" s="3"/>
      <x:c r="F19" s="3"/>
    </x:row>
    <x:row r="20" ht="28" customHeight="1">
      <x:c r="A20" s="3"/>
      <x:c r="B20" s="3"/>
      <x:c r="C20" s="3"/>
      <x:c r="D20" s="3"/>
      <x:c r="E20" s="3"/>
      <x:c r="F20" s="3"/>
    </x:row>
    <x:row r="21" ht="28" customHeight="1">
      <x:c r="A21" s="3"/>
      <x:c r="B21" s="3"/>
      <x:c r="C21" s="3"/>
      <x:c r="D21" s="3"/>
      <x:c r="E21" s="3"/>
      <x:c r="F21" s="3"/>
    </x:row>
    <x:row r="22" ht="28" customHeight="1">
      <x:c r="A22" s="3"/>
      <x:c r="B22" s="3"/>
      <x:c r="C22" s="3"/>
      <x:c r="D22" s="3"/>
      <x:c r="E22" s="3"/>
      <x:c r="F22" s="3"/>
    </x:row>
    <x:row r="23" ht="28" customHeight="1">
      <x:c r="A23" s="3"/>
      <x:c r="B23" s="3"/>
      <x:c r="C23" s="3"/>
      <x:c r="D23" s="3"/>
      <x:c r="E23" s="3"/>
      <x:c r="F23" s="3"/>
    </x:row>
    <x:row r="24" ht="28" customHeight="1">
      <x:c r="A24" s="3"/>
      <x:c r="B24" s="3"/>
      <x:c r="C24" s="3"/>
      <x:c r="D24" s="3"/>
      <x:c r="E24" s="3"/>
      <x:c r="F24" s="3"/>
    </x:row>
    <x:row r="25" ht="28" customHeight="1">
      <x:c r="A25" s="3"/>
      <x:c r="B25" s="3"/>
      <x:c r="C25" s="3"/>
      <x:c r="D25" s="3"/>
      <x:c r="E25" s="3"/>
      <x:c r="F25" s="3"/>
    </x:row>
    <x:row r="26" ht="28" customHeight="1">
      <x:c r="A26" s="3"/>
      <x:c r="B26" s="3"/>
      <x:c r="C26" s="3"/>
      <x:c r="D26" s="3"/>
      <x:c r="E26" s="3"/>
      <x:c r="F26" s="3"/>
    </x:row>
    <x:row r="27" ht="28" customHeight="1">
      <x:c r="A27" s="3"/>
      <x:c r="B27" s="3"/>
      <x:c r="C27" s="3"/>
      <x:c r="D27" s="3"/>
      <x:c r="E27" s="3"/>
      <x:c r="F27" s="3"/>
    </x:row>
    <x:row r="28" ht="28" customHeight="1">
      <x:c r="A28" s="3"/>
      <x:c r="B28" s="3"/>
      <x:c r="C28" s="3"/>
      <x:c r="D28" s="3"/>
      <x:c r="E28" s="3"/>
      <x:c r="F28" s="3"/>
    </x:row>
    <x:row r="29" ht="28" customHeight="1">
      <x:c r="A29" s="3"/>
      <x:c r="B29" s="3"/>
      <x:c r="C29" s="3"/>
      <x:c r="D29" s="3"/>
      <x:c r="E29" s="3"/>
      <x:c r="F29" s="3"/>
    </x:row>
    <x:row r="30" ht="28" customHeight="1">
      <x:c r="A30" s="3"/>
      <x:c r="B30" s="3"/>
      <x:c r="C30" s="3"/>
      <x:c r="D30" s="3"/>
      <x:c r="E30" s="3"/>
      <x:c r="F30" s="3"/>
    </x:row>
  </x:sheetData>
  <x:conditionalFormatting sqref="B8:B8">
    <x:cfRule type="containsText" dxfId="0" priority="1" operator="containsText" text="Vencido"/>
    <x:cfRule type="containsText" dxfId="1" priority="2" operator="containsText" text="Vence hoje"/>
    <x:cfRule type="containsText" dxfId="2" priority="3" operator="containsText" text="Revisar"/>
    <x:cfRule type="containsText" dxfId="3" priority="4" operator="containsText" text="Incompleto"/>
    <x:cfRule type="containsText" dxfId="4" priority="5" operator="containsText" text="Duplicado"/>
    <x:cfRule type="containsText" dxfId="5" priority="6" operator="containsText" text="Sem cadastro"/>
    <x:cfRule type="containsText" dxfId="6" priority="7" operator="containsText" text="Conferir"/>
    <x:cfRule type="containsText" dxfId="7" priority="8" operator="containsText" text="Aluguel indevido"/>
    <x:cfRule type="containsText" dxfId="8" priority="9" operator="containsText" text="Risco"/>
    <x:cfRule type="containsText" dxfId="9" priority="10" operator="containsText" text="Em até 30 dias"/>
  </x:conditionalFormatting>
  <x:dataValidations count="2">
    <x:dataValidation type="whole" operator="between" sqref="B7">
      <x:formula1>1</x:formula1>
      <x:formula2>24</x:formula2>
    </x:dataValidation>
    <x:dataValidation type="whole" operator="between" sqref="B5:B6">
      <x:formula1>1</x:formula1>
      <x:formula2>2958465</x:formula2>
    </x:dataValidation>
  </x:dataValidations>
  <x:pageMargins left="0.7" right="0.7" top="0.75" bottom="0.75" header="0.3" footer="0.3"/>
</x:worksheet>
</file>