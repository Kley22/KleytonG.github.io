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5dd00c8bf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éis" sheetId="1" r:id="R40ea19079c7b4cb0"/>
    <x:sheet xmlns:r="http://schemas.openxmlformats.org/officeDocument/2006/relationships" name="Operacional" sheetId="2" r:id="R4c180d94bb444581"/>
    <x:sheet xmlns:r="http://schemas.openxmlformats.org/officeDocument/2006/relationships" name="Auxiliar" sheetId="3" r:id="R70bf53c7b31f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"/>
    <x:numFmt numFmtId="202" formatCode="&quot;R$&quot; #,##0.00"/>
    <x:numFmt numFmtId="203" formatCode="0.0%"/>
  </x:numFmts>
  <x:fonts count="7">
    <x:font>
      <x:sz val="11"/>
      <x:name val="Carlito"/>
    </x:font>
    <x:font>
      <x:sz val="10"/>
      <x:color rgb="FF233F35"/>
      <x:name val="Arial"/>
    </x:font>
    <x:font>
      <x:b/>
      <x:sz val="16"/>
      <x:color rgb="FF233F35"/>
      <x:name val="Arial"/>
    </x:font>
    <x:font>
      <x:i/>
      <x:sz val="10"/>
      <x:color rgb="FF66736C"/>
      <x:name val="Arial"/>
    </x:font>
    <x:font>
      <x:b/>
      <x:sz val="10"/>
      <x:color rgb="FFFFFFFF"/>
      <x:name val="Arial"/>
    </x:font>
    <x:font>
      <x:b/>
      <x:sz val="10"/>
      <x:color rgb="FF233F35"/>
      <x:name val="Arial"/>
    </x:font>
    <x:font>
      <x:b/>
      <x:sz val="14"/>
      <x:color rgb="FF233F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6"/>
      </x:patternFill>
    </x:fill>
    <x:fill>
      <x:patternFill patternType="solid">
        <x:fgColor rgb="FF315647"/>
      </x:patternFill>
    </x:fill>
    <x:fill>
      <x:patternFill patternType="solid">
        <x:fgColor rgb="FFEDF2EC"/>
      </x:patternFill>
    </x:fill>
  </x:fills>
  <x:borders count="8">
    <x:border/>
    <x:border>
      <x:bottom style="thin">
        <x:color rgb="FFD8DFD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7DDC7"/>
      </x:bottom>
    </x:border>
    <x:border>
      <x:top style="thin">
        <x:color rgb="FFE7DDC7"/>
      </x:top>
      <x:bottom style="thin">
        <x:color rgb="FFE7DDC7"/>
      </x:bottom>
    </x:border>
    <x:border>
      <x:top style="thin">
        <x:color rgb="FFE7DDC7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200" fontId="1" fillId="2" borderId="5" xfId="0" applyNumberFormat="1" applyFont="1" applyFill="1" applyBorder="1" applyAlignment="1">
      <x:alignment vertical="center"/>
    </x:xf>
    <x:xf numFmtId="200" fontId="1" fillId="2" borderId="6" xfId="0" applyNumberFormat="1" applyFont="1" applyFill="1" applyBorder="1" applyAlignment="1">
      <x:alignment vertical="center"/>
    </x:xf>
    <x:xf numFmtId="200" fontId="1" fillId="2" borderId="7" xfId="0" applyNumberFormat="1" applyFont="1" applyFill="1" applyBorder="1" applyAlignment="1">
      <x:alignment vertical="center"/>
    </x:xf>
    <x:xf numFmtId="200" fontId="1" fillId="2" borderId="5" xfId="0" applyNumberFormat="1" applyFont="1" applyFill="1" applyBorder="1" applyAlignment="1">
      <x:alignment horizontal="center" vertical="center"/>
    </x:xf>
    <x:xf numFmtId="200" fontId="1" fillId="2" borderId="6" xfId="0" applyNumberFormat="1" applyFont="1" applyFill="1" applyBorder="1" applyAlignment="1">
      <x:alignment horizontal="center" vertical="center"/>
    </x:xf>
    <x:xf numFmtId="200" fontId="1" fillId="2" borderId="7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vertical="center" wrapText="1"/>
    </x:xf>
    <x:xf numFmtId="20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20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200" fontId="1" fillId="2" borderId="7" xfId="0" applyNumberFormat="1" applyFont="1" applyFill="1" applyBorder="1" applyAlignment="1">
      <x:alignment horizontal="center" vertical="center" wrapText="1"/>
    </x:xf>
    <x:xf numFmtId="201" fontId="1" fillId="2" borderId="5" xfId="0" applyNumberFormat="1" applyFont="1" applyFill="1" applyBorder="1" applyAlignment="1">
      <x:alignment vertical="center"/>
    </x:xf>
    <x:xf numFmtId="201" fontId="1" fillId="2" borderId="6" xfId="0" applyNumberFormat="1" applyFont="1" applyFill="1" applyBorder="1" applyAlignment="1">
      <x:alignment vertical="center"/>
    </x:xf>
    <x:xf numFmtId="201" fontId="1" fillId="2" borderId="7" xfId="0" applyNumberFormat="1" applyFont="1" applyFill="1" applyBorder="1" applyAlignment="1">
      <x:alignment vertical="center"/>
    </x:xf>
    <x:xf numFmtId="202" fontId="1" fillId="2" borderId="5" xfId="0" applyNumberFormat="1" applyFont="1" applyFill="1" applyBorder="1" applyAlignment="1">
      <x:alignment vertical="center"/>
    </x:xf>
    <x:xf numFmtId="202" fontId="1" fillId="2" borderId="6" xfId="0" applyNumberFormat="1" applyFont="1" applyFill="1" applyBorder="1" applyAlignment="1">
      <x:alignment vertical="center"/>
    </x:xf>
    <x:xf numFmtId="202" fontId="1" fillId="2" borderId="7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horizontal="right" vertical="center"/>
    </x:xf>
    <x:xf numFmtId="202" fontId="1" fillId="2" borderId="5" xfId="0" applyNumberFormat="1" applyFont="1" applyFill="1" applyBorder="1" applyAlignment="1">
      <x:alignment horizontal="right" vertical="center"/>
    </x:xf>
    <x:xf numFmtId="201" fontId="1" fillId="2" borderId="6" xfId="0" applyNumberFormat="1" applyFont="1" applyFill="1" applyBorder="1" applyAlignment="1">
      <x:alignment horizontal="right" vertical="center"/>
    </x:xf>
    <x:xf numFmtId="202" fontId="1" fillId="2" borderId="6" xfId="0" applyNumberFormat="1" applyFont="1" applyFill="1" applyBorder="1" applyAlignment="1">
      <x:alignment horizontal="right" vertical="center"/>
    </x:xf>
    <x:xf numFmtId="201" fontId="1" fillId="2" borderId="7" xfId="0" applyNumberFormat="1" applyFont="1" applyFill="1" applyBorder="1" applyAlignment="1">
      <x:alignment horizontal="right" vertical="center"/>
    </x:xf>
    <x:xf numFmtId="202" fontId="1" fillId="2" borderId="7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8D2E20"/>
      </x:font>
      <x:fill>
        <x:patternFill patternType="solid">
          <x:bgColor rgb="FFFBE5DF"/>
        </x:patternFill>
      </x:fill>
    </x:dxf>
    <x:dxf>
      <x:font>
        <x:b/>
        <x:color rgb="FF8D2E20"/>
      </x:font>
      <x:fill>
        <x:patternFill patternType="solid">
          <x:bgColor rgb="FFFBE5DF"/>
        </x:patternFill>
      </x:fill>
    </x:dxf>
    <x:dxf>
      <x:font>
        <x:b/>
        <x:color rgb="FF8D2E20"/>
      </x:font>
      <x:fill>
        <x:patternFill patternType="solid">
          <x:bgColor rgb="FFFBE5DF"/>
        </x:patternFill>
      </x:fill>
    </x:dxf>
    <x:dxf>
      <x:font>
        <x:b/>
        <x:color rgb="FF8D2E20"/>
      </x:font>
      <x:fill>
        <x:patternFill patternType="solid">
          <x:bgColor rgb="FFFBE5DF"/>
        </x:patternFill>
      </x:fill>
    </x:dxf>
    <x:dxf>
      <x:font>
        <x:b/>
        <x:color rgb="FF8D2E20"/>
      </x:font>
      <x:fill>
        <x:patternFill patternType="solid">
          <x:bgColor rgb="FFFBE5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aa206d3494b8c" /><Relationship Type="http://schemas.openxmlformats.org/officeDocument/2006/relationships/theme" Target="/xl/theme/theme1.xml" Id="R1783d228c9ef4ddf" /><Relationship Type="http://schemas.openxmlformats.org/officeDocument/2006/relationships/sharedStrings" Target="/xl/sharedStrings.xml" Id="R48f7bf3ba1a448ec" /><Relationship Type="http://schemas.openxmlformats.org/officeDocument/2006/relationships/worksheet" Target="/xl/worksheets/sheet1.xml" Id="R40ea19079c7b4cb0" /><Relationship Type="http://schemas.openxmlformats.org/officeDocument/2006/relationships/worksheet" Target="/xl/worksheets/sheet2.xml" Id="R4c180d94bb444581" /><Relationship Type="http://schemas.openxmlformats.org/officeDocument/2006/relationships/worksheet" Target="/xl/worksheets/sheet3.xml" Id="R70bf53c7b31f45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b27ff86b5643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Variação sobre a referência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Variação</c:v>
          </c:tx>
          <c:spPr>
            <a:solidFill xmlns:a="http://schemas.openxmlformats.org/drawingml/2006/main">
              <a:srgbClr val="315647"/>
            </a:solidFill>
          </c:spPr>
          <c:cat>
            <c:strRef>
              <c:f>'Painéis'!$A$14:$A$17</c:f>
              <c:strCache>
                <c:ptCount val="0"/>
              </c:strCache>
            </c:strRef>
          </c:cat>
          <c:val>
            <c:numRef>
              <c:f>'Painéis'!$C$14:$C$17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b27ff86b5643c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341e46a6da41de" /></Relationships>
</file>

<file path=xl/worksheets/sheet1.xml><?xml version="1.0" encoding="utf-8"?>
<x:worksheet xmlns:x="http://schemas.openxmlformats.org/spreadsheetml/2006/main">
  <x:sheetPr>
    <x:tabColor rgb="FF315647"/>
  </x:sheetPr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7" hidden="0" customWidth="1"/>
    <x:col min="4" max="4" width="22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Mapa comparativo de preços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48" t="str">
        <x:v>Método de referência</x:v>
      </x:c>
      <x:c r="B5" s="2" t="str">
        <x:f>'Auxiliar'!B6</x:f>
        <x:v>Média</x:v>
      </x:c>
      <x:c r="C5" s="2"/>
      <x:c r="D5" s="2"/>
      <x:c r="E5" s="2"/>
      <x:c r="F5" s="2"/>
      <x:c r="G5" s="2"/>
      <x:c r="H5" s="2"/>
      <x:c r="I5" s="2"/>
    </x:row>
    <x:row r="6" ht="24" customHeight="1">
      <x:c r="A6" s="48" t="str">
        <x:v>Itens cadastrados</x:v>
      </x:c>
      <x:c r="B6" s="2" t="n">
        <x:f>COUNT('Operacional'!B32:B51)</x:f>
        <x:v>0</x:v>
      </x:c>
      <x:c r="C6" s="2"/>
      <x:c r="D6" s="2"/>
      <x:c r="E6" s="2"/>
      <x:c r="F6" s="2"/>
      <x:c r="G6" s="2"/>
      <x:c r="H6" s="2"/>
      <x:c r="I6" s="2"/>
    </x:row>
    <x:row r="7" ht="24" customHeight="1">
      <x:c r="A7" s="48" t="str">
        <x:v>Itens com referência</x:v>
      </x:c>
      <x:c r="B7" s="2" t="n">
        <x:f>COUNT('Operacional'!F32:F51)</x:f>
        <x:v>0</x:v>
      </x:c>
      <x:c r="C7" s="2"/>
      <x:c r="D7" s="2"/>
      <x:c r="E7" s="2"/>
      <x:c r="F7" s="2"/>
      <x:c r="G7" s="2"/>
      <x:c r="H7" s="2"/>
      <x:c r="I7" s="2"/>
    </x:row>
    <x:row r="8" ht="24" customHeight="1">
      <x:c r="A8" s="49" t="str">
        <x:v>Referência da cesta</x:v>
      </x:c>
      <x:c r="B8" s="51" t="str">
        <x:f>IF(OR(B6=0,B7&lt;&gt;B6),"",SUM('Operacional'!F32:F51))</x:f>
      </x:c>
      <x:c r="C8" s="2"/>
      <x:c r="D8" s="2"/>
      <x:c r="E8" s="2"/>
      <x:c r="F8" s="2"/>
      <x:c r="G8" s="2"/>
      <x:c r="H8" s="2"/>
      <x:c r="I8" s="2"/>
    </x:row>
    <x:row r="9" ht="24" customHeight="1">
      <x:c r="A9" s="48" t="str">
        <x:v>Situação da referência</x:v>
      </x:c>
      <x:c r="B9" s="2" t="str">
        <x:f>IF(B6=0,"Sem itens",IF(B7=B6,"Completa","Incompleta"))</x:f>
        <x:v>Sem itens</x:v>
      </x:c>
      <x:c r="C9" s="2"/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6" customHeight="1">
      <x:c r="A13" s="15" t="str">
        <x:v>Referência / fornecedor</x:v>
      </x:c>
      <x:c r="B13" s="16" t="str">
        <x:v>Total da cesta</x:v>
      </x:c>
      <x:c r="C13" s="16" t="str">
        <x:v>Variação</x:v>
      </x:c>
      <x:c r="D13" s="17" t="str">
        <x:v>Cobertura</x:v>
      </x:c>
      <x:c r="E13" s="2"/>
      <x:c r="F13" s="2"/>
      <x:c r="G13" s="2"/>
      <x:c r="H13" s="2"/>
      <x:c r="I13" s="2"/>
    </x:row>
    <x:row r="14" ht="32" customHeight="1">
      <x:c r="A14" s="47" t="str">
        <x:v>Referência de pesquisa</x:v>
      </x:c>
      <x:c r="B14" s="45" t="str">
        <x:f>IF(B8="","",B8)</x:f>
      </x:c>
      <x:c r="C14" s="52" t="str">
        <x:f>IF(B8="","",B14/B8-1)</x:f>
      </x:c>
      <x:c r="D14" s="53" t="str">
        <x:f>B9</x:f>
        <x:v>Sem itens</x:v>
      </x:c>
      <x:c r="E14" s="2"/>
      <x:c r="F14" s="2"/>
      <x:c r="G14" s="2"/>
      <x:c r="H14" s="2"/>
      <x:c r="I14" s="2"/>
    </x:row>
    <x:row r="15" ht="32" customHeight="1">
      <x:c r="A15" s="47" t="str">
        <x:f>IF('Auxiliar'!C16="","Fornecedor 1",'Auxiliar'!C16)</x:f>
        <x:v>Fornecedor 1</x:v>
      </x:c>
      <x:c r="B15" s="45" t="str">
        <x:f>IF(D15&lt;&gt;"Completa","",SUM('Operacional'!G32:G51))</x:f>
      </x:c>
      <x:c r="C15" s="52" t="str">
        <x:f>IF(OR(B15="",$B$8=""),"",B15/$B$8-1)</x:f>
      </x:c>
      <x:c r="D15" s="53" t="str">
        <x:f>IF($B$6=0,"Sem itens",IF(COUNT('Operacional'!G32:G51)=$B$6,"Completa","Incompleta"))</x:f>
        <x:v>Sem itens</x:v>
      </x:c>
      <x:c r="E15" s="2"/>
      <x:c r="F15" s="2"/>
      <x:c r="G15" s="2"/>
      <x:c r="H15" s="2"/>
      <x:c r="I15" s="2"/>
    </x:row>
    <x:row r="16" ht="32" customHeight="1">
      <x:c r="A16" s="47" t="str">
        <x:f>IF('Auxiliar'!C17="","Fornecedor 2",'Auxiliar'!C17)</x:f>
        <x:v>Fornecedor 2</x:v>
      </x:c>
      <x:c r="B16" s="45" t="str">
        <x:f>IF(D16&lt;&gt;"Completa","",SUM('Operacional'!H32:H51))</x:f>
      </x:c>
      <x:c r="C16" s="52" t="str">
        <x:f>IF(OR(B16="",$B$8=""),"",B16/$B$8-1)</x:f>
      </x:c>
      <x:c r="D16" s="53" t="str">
        <x:f>IF($B$6=0,"Sem itens",IF(COUNT('Operacional'!H32:H51)=$B$6,"Completa","Incompleta"))</x:f>
        <x:v>Sem itens</x:v>
      </x:c>
      <x:c r="E16" s="2"/>
      <x:c r="F16" s="2"/>
      <x:c r="G16" s="2"/>
      <x:c r="H16" s="2"/>
      <x:c r="I16" s="2"/>
    </x:row>
    <x:row r="17" ht="32" customHeight="1">
      <x:c r="A17" s="47" t="str">
        <x:f>IF('Auxiliar'!C18="","Fornecedor 3",'Auxiliar'!C18)</x:f>
        <x:v>Fornecedor 3</x:v>
      </x:c>
      <x:c r="B17" s="45" t="str">
        <x:f>IF(D17&lt;&gt;"Completa","",SUM('Operacional'!I32:I51))</x:f>
      </x:c>
      <x:c r="C17" s="52" t="str">
        <x:f>IF(OR(B17="",$B$8=""),"",B17/$B$8-1)</x:f>
      </x:c>
      <x:c r="D17" s="53" t="str">
        <x:f>IF($B$6=0,"Sem itens",IF(COUNT('Operacional'!I32:I51)=$B$6,"Completa","Incompleta"))</x:f>
        <x:v>Sem itens</x:v>
      </x:c>
      <x:c r="E17" s="2"/>
      <x:c r="F17" s="2"/>
      <x:c r="G17" s="2"/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36" customHeight="1">
      <x:c r="A21" s="15" t="str">
        <x:v>Categoria</x:v>
      </x:c>
      <x:c r="B21" s="16" t="str">
        <x:v>Itens</x:v>
      </x:c>
      <x:c r="C21" s="16" t="str">
        <x:v>Referência total</x:v>
      </x:c>
      <x:c r="D21" s="17" t="str">
        <x:v>Sem referência</x:v>
      </x:c>
      <x:c r="E21" s="2"/>
      <x:c r="F21" s="2"/>
      <x:c r="G21" s="2"/>
      <x:c r="H21" s="2"/>
      <x:c r="I21" s="2"/>
    </x:row>
    <x:row r="22" ht="24" customHeight="1">
      <x:c r="A22" s="2" t="str">
        <x:v>Material</x:v>
      </x:c>
      <x:c r="B22" s="2" t="n">
        <x:f>COUNTIFS('Operacional'!B7:B26,A22)</x:f>
        <x:v>0</x:v>
      </x:c>
      <x:c r="C22" s="45" t="str">
        <x:f>IF(OR(B22=0,D22&gt;0),"",SUMIFS('Operacional'!F32:F51,'Operacional'!B7:B26,A22))</x:f>
      </x:c>
      <x:c r="D22" s="2" t="n">
        <x:f>B22-COUNTIFS('Operacional'!B7:B26,A22,'Operacional'!F32:F51,"&gt;0")</x:f>
        <x:v>0</x:v>
      </x:c>
      <x:c r="E22" s="2"/>
      <x:c r="F22" s="2"/>
      <x:c r="G22" s="2"/>
      <x:c r="H22" s="2"/>
      <x:c r="I22" s="2"/>
    </x:row>
    <x:row r="23" ht="24" customHeight="1">
      <x:c r="A23" s="2" t="str">
        <x:v>Serviço</x:v>
      </x:c>
      <x:c r="B23" s="2" t="n">
        <x:f>COUNTIFS('Operacional'!B7:B26,A23)</x:f>
        <x:v>0</x:v>
      </x:c>
      <x:c r="C23" s="45" t="str">
        <x:f>IF(OR(B23=0,D23&gt;0),"",SUMIFS('Operacional'!F32:F51,'Operacional'!B7:B26,A23))</x:f>
      </x:c>
      <x:c r="D23" s="2" t="n">
        <x:f>B23-COUNTIFS('Operacional'!B7:B26,A23,'Operacional'!F32:F51,"&gt;0")</x:f>
        <x:v>0</x:v>
      </x:c>
      <x:c r="E23" s="2"/>
      <x:c r="F23" s="2"/>
      <x:c r="G23" s="2"/>
      <x:c r="H23" s="2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5" t="str">
        <x:v>Propostas incompletas não recebem total da cesta. Compare as mesmas quantidades, unidades e condições comerciais.</x:v>
      </x:c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5" t="str">
        <x:v>A variação compara a proposta completa com a referência. O menor preço observado não define a contratação.</x:v>
      </x:c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5" t="str">
        <x:v>Comece em Auxiliar, preencha Operacional e volte a Painéis. O guia do kit explica o preenchimento e os cálculos.</x:v>
      </x:c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</x:sheetData>
  <x:conditionalFormatting sqref="D14:D17">
    <x:cfRule type="containsText" dxfId="4" priority="1" operator="containsText" text="Incompleta"/>
  </x:conditionalFormatting>
  <x:pageMargins left="0.7" right="0.7" top="0.75" bottom="0.75" header="0.3" footer="0.3"/>
  <x:drawing xmlns:r="http://schemas.openxmlformats.org/officeDocument/2006/relationships" r:id="R66341e46a6da41d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6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Itens, pesquisas e propostas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5" t="str">
        <x:v>Preencha as células amarelas. Preços unitários em reais. Cada linha reúne um item e suas seis cotações.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6" customHeight="1">
      <x:c r="A6" s="15" t="str">
        <x:v>Item</x:v>
      </x:c>
      <x:c r="B6" s="16" t="str">
        <x:v>Categoria</x:v>
      </x:c>
      <x:c r="C6" s="16" t="str">
        <x:v>Descrição</x:v>
      </x:c>
      <x:c r="D6" s="16" t="str">
        <x:v>Unidade</x:v>
      </x:c>
      <x:c r="E6" s="16" t="str">
        <x:v>Quantidade</x:v>
      </x:c>
      <x:c r="F6" s="16" t="str">
        <x:v>Pesquisa P1</x:v>
      </x:c>
      <x:c r="G6" s="16" t="str">
        <x:v>Pesquisa P2</x:v>
      </x:c>
      <x:c r="H6" s="16" t="str">
        <x:v>Pesquisa P3</x:v>
      </x:c>
      <x:c r="I6" s="16" t="str">
        <x:v>Proposta F1</x:v>
      </x:c>
      <x:c r="J6" s="16" t="str">
        <x:v>Proposta F2</x:v>
      </x:c>
      <x:c r="K6" s="17" t="str">
        <x:v>Proposta F3</x:v>
      </x:c>
    </x:row>
    <x:row r="7" ht="34" customHeight="1">
      <x:c r="A7" s="18"/>
      <x:c r="B7" s="18"/>
      <x:c r="C7" s="27"/>
      <x:c r="D7" s="27"/>
      <x:c r="E7" s="39"/>
      <x:c r="F7" s="40"/>
      <x:c r="G7" s="40"/>
      <x:c r="H7" s="40"/>
      <x:c r="I7" s="40"/>
      <x:c r="J7" s="40"/>
      <x:c r="K7" s="40"/>
    </x:row>
    <x:row r="8" ht="34" customHeight="1">
      <x:c r="A8" s="19"/>
      <x:c r="B8" s="19"/>
      <x:c r="C8" s="29"/>
      <x:c r="D8" s="29"/>
      <x:c r="E8" s="41"/>
      <x:c r="F8" s="42"/>
      <x:c r="G8" s="42"/>
      <x:c r="H8" s="42"/>
      <x:c r="I8" s="42"/>
      <x:c r="J8" s="42"/>
      <x:c r="K8" s="42"/>
    </x:row>
    <x:row r="9" ht="34" customHeight="1">
      <x:c r="A9" s="19"/>
      <x:c r="B9" s="19"/>
      <x:c r="C9" s="29"/>
      <x:c r="D9" s="29"/>
      <x:c r="E9" s="41"/>
      <x:c r="F9" s="42"/>
      <x:c r="G9" s="42"/>
      <x:c r="H9" s="42"/>
      <x:c r="I9" s="42"/>
      <x:c r="J9" s="42"/>
      <x:c r="K9" s="42"/>
    </x:row>
    <x:row r="10" ht="34" customHeight="1">
      <x:c r="A10" s="19"/>
      <x:c r="B10" s="19"/>
      <x:c r="C10" s="29"/>
      <x:c r="D10" s="29"/>
      <x:c r="E10" s="41"/>
      <x:c r="F10" s="42"/>
      <x:c r="G10" s="42"/>
      <x:c r="H10" s="42"/>
      <x:c r="I10" s="42"/>
      <x:c r="J10" s="42"/>
      <x:c r="K10" s="42"/>
    </x:row>
    <x:row r="11" ht="34" customHeight="1">
      <x:c r="A11" s="19"/>
      <x:c r="B11" s="19"/>
      <x:c r="C11" s="29"/>
      <x:c r="D11" s="29"/>
      <x:c r="E11" s="41"/>
      <x:c r="F11" s="42"/>
      <x:c r="G11" s="42"/>
      <x:c r="H11" s="42"/>
      <x:c r="I11" s="42"/>
      <x:c r="J11" s="42"/>
      <x:c r="K11" s="42"/>
    </x:row>
    <x:row r="12" ht="34" customHeight="1">
      <x:c r="A12" s="19"/>
      <x:c r="B12" s="19"/>
      <x:c r="C12" s="29"/>
      <x:c r="D12" s="29"/>
      <x:c r="E12" s="41"/>
      <x:c r="F12" s="42"/>
      <x:c r="G12" s="42"/>
      <x:c r="H12" s="42"/>
      <x:c r="I12" s="42"/>
      <x:c r="J12" s="42"/>
      <x:c r="K12" s="42"/>
    </x:row>
    <x:row r="13" ht="34" customHeight="1">
      <x:c r="A13" s="19"/>
      <x:c r="B13" s="19"/>
      <x:c r="C13" s="29"/>
      <x:c r="D13" s="29"/>
      <x:c r="E13" s="41"/>
      <x:c r="F13" s="42"/>
      <x:c r="G13" s="42"/>
      <x:c r="H13" s="42"/>
      <x:c r="I13" s="42"/>
      <x:c r="J13" s="42"/>
      <x:c r="K13" s="42"/>
    </x:row>
    <x:row r="14" ht="34" customHeight="1">
      <x:c r="A14" s="19"/>
      <x:c r="B14" s="19"/>
      <x:c r="C14" s="29"/>
      <x:c r="D14" s="29"/>
      <x:c r="E14" s="41"/>
      <x:c r="F14" s="42"/>
      <x:c r="G14" s="42"/>
      <x:c r="H14" s="42"/>
      <x:c r="I14" s="42"/>
      <x:c r="J14" s="42"/>
      <x:c r="K14" s="42"/>
    </x:row>
    <x:row r="15" ht="34" customHeight="1">
      <x:c r="A15" s="19"/>
      <x:c r="B15" s="19"/>
      <x:c r="C15" s="29"/>
      <x:c r="D15" s="29"/>
      <x:c r="E15" s="41"/>
      <x:c r="F15" s="42"/>
      <x:c r="G15" s="42"/>
      <x:c r="H15" s="42"/>
      <x:c r="I15" s="42"/>
      <x:c r="J15" s="42"/>
      <x:c r="K15" s="42"/>
    </x:row>
    <x:row r="16" ht="34" customHeight="1">
      <x:c r="A16" s="19"/>
      <x:c r="B16" s="19"/>
      <x:c r="C16" s="29"/>
      <x:c r="D16" s="29"/>
      <x:c r="E16" s="41"/>
      <x:c r="F16" s="42"/>
      <x:c r="G16" s="42"/>
      <x:c r="H16" s="42"/>
      <x:c r="I16" s="42"/>
      <x:c r="J16" s="42"/>
      <x:c r="K16" s="42"/>
    </x:row>
    <x:row r="17" ht="34" customHeight="1">
      <x:c r="A17" s="19"/>
      <x:c r="B17" s="19"/>
      <x:c r="C17" s="29"/>
      <x:c r="D17" s="29"/>
      <x:c r="E17" s="41"/>
      <x:c r="F17" s="42"/>
      <x:c r="G17" s="42"/>
      <x:c r="H17" s="42"/>
      <x:c r="I17" s="42"/>
      <x:c r="J17" s="42"/>
      <x:c r="K17" s="42"/>
    </x:row>
    <x:row r="18" ht="34" customHeight="1">
      <x:c r="A18" s="19"/>
      <x:c r="B18" s="19"/>
      <x:c r="C18" s="29"/>
      <x:c r="D18" s="29"/>
      <x:c r="E18" s="41"/>
      <x:c r="F18" s="42"/>
      <x:c r="G18" s="42"/>
      <x:c r="H18" s="42"/>
      <x:c r="I18" s="42"/>
      <x:c r="J18" s="42"/>
      <x:c r="K18" s="42"/>
    </x:row>
    <x:row r="19" ht="34" customHeight="1">
      <x:c r="A19" s="19"/>
      <x:c r="B19" s="19"/>
      <x:c r="C19" s="29"/>
      <x:c r="D19" s="29"/>
      <x:c r="E19" s="41"/>
      <x:c r="F19" s="42"/>
      <x:c r="G19" s="42"/>
      <x:c r="H19" s="42"/>
      <x:c r="I19" s="42"/>
      <x:c r="J19" s="42"/>
      <x:c r="K19" s="42"/>
    </x:row>
    <x:row r="20" ht="34" customHeight="1">
      <x:c r="A20" s="19"/>
      <x:c r="B20" s="19"/>
      <x:c r="C20" s="29"/>
      <x:c r="D20" s="29"/>
      <x:c r="E20" s="41"/>
      <x:c r="F20" s="42"/>
      <x:c r="G20" s="42"/>
      <x:c r="H20" s="42"/>
      <x:c r="I20" s="42"/>
      <x:c r="J20" s="42"/>
      <x:c r="K20" s="42"/>
    </x:row>
    <x:row r="21" ht="34" customHeight="1">
      <x:c r="A21" s="19"/>
      <x:c r="B21" s="19"/>
      <x:c r="C21" s="29"/>
      <x:c r="D21" s="29"/>
      <x:c r="E21" s="41"/>
      <x:c r="F21" s="42"/>
      <x:c r="G21" s="42"/>
      <x:c r="H21" s="42"/>
      <x:c r="I21" s="42"/>
      <x:c r="J21" s="42"/>
      <x:c r="K21" s="42"/>
    </x:row>
    <x:row r="22" ht="34" customHeight="1">
      <x:c r="A22" s="19"/>
      <x:c r="B22" s="19"/>
      <x:c r="C22" s="29"/>
      <x:c r="D22" s="29"/>
      <x:c r="E22" s="41"/>
      <x:c r="F22" s="42"/>
      <x:c r="G22" s="42"/>
      <x:c r="H22" s="42"/>
      <x:c r="I22" s="42"/>
      <x:c r="J22" s="42"/>
      <x:c r="K22" s="42"/>
    </x:row>
    <x:row r="23" ht="34" customHeight="1">
      <x:c r="A23" s="19"/>
      <x:c r="B23" s="19"/>
      <x:c r="C23" s="29"/>
      <x:c r="D23" s="29"/>
      <x:c r="E23" s="41"/>
      <x:c r="F23" s="42"/>
      <x:c r="G23" s="42"/>
      <x:c r="H23" s="42"/>
      <x:c r="I23" s="42"/>
      <x:c r="J23" s="42"/>
      <x:c r="K23" s="42"/>
    </x:row>
    <x:row r="24" ht="34" customHeight="1">
      <x:c r="A24" s="19"/>
      <x:c r="B24" s="19"/>
      <x:c r="C24" s="29"/>
      <x:c r="D24" s="29"/>
      <x:c r="E24" s="41"/>
      <x:c r="F24" s="42"/>
      <x:c r="G24" s="42"/>
      <x:c r="H24" s="42"/>
      <x:c r="I24" s="42"/>
      <x:c r="J24" s="42"/>
      <x:c r="K24" s="42"/>
    </x:row>
    <x:row r="25" ht="34" customHeight="1">
      <x:c r="A25" s="19"/>
      <x:c r="B25" s="19"/>
      <x:c r="C25" s="29"/>
      <x:c r="D25" s="29"/>
      <x:c r="E25" s="41"/>
      <x:c r="F25" s="42"/>
      <x:c r="G25" s="42"/>
      <x:c r="H25" s="42"/>
      <x:c r="I25" s="42"/>
      <x:c r="J25" s="42"/>
      <x:c r="K25" s="42"/>
    </x:row>
    <x:row r="26" ht="34" customHeight="1">
      <x:c r="A26" s="20"/>
      <x:c r="B26" s="20"/>
      <x:c r="C26" s="31"/>
      <x:c r="D26" s="31"/>
      <x:c r="E26" s="43"/>
      <x:c r="F26" s="44"/>
      <x:c r="G26" s="44"/>
      <x:c r="H26" s="44"/>
      <x:c r="I26" s="44"/>
      <x:c r="J26" s="44"/>
      <x:c r="K26" s="44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36" customHeight="1">
      <x:c r="A31" s="15" t="str">
        <x:v>Item</x:v>
      </x:c>
      <x:c r="B31" s="16" t="str">
        <x:v>Pesquisas válidas</x:v>
      </x:c>
      <x:c r="C31" s="16" t="str">
        <x:v>Média unitária</x:v>
      </x:c>
      <x:c r="D31" s="16" t="str">
        <x:v>Mediana unitária</x:v>
      </x:c>
      <x:c r="E31" s="16" t="str">
        <x:v>Referência unitária</x:v>
      </x:c>
      <x:c r="F31" s="16" t="str">
        <x:v>Referência total</x:v>
      </x:c>
      <x:c r="G31" s="16" t="str">
        <x:v>Total F1</x:v>
      </x:c>
      <x:c r="H31" s="16" t="str">
        <x:v>Total F2</x:v>
      </x:c>
      <x:c r="I31" s="16" t="str">
        <x:v>Total F3</x:v>
      </x:c>
      <x:c r="J31" s="16" t="str">
        <x:v>Cadastro</x:v>
      </x:c>
      <x:c r="K31" s="17" t="str">
        <x:v>Conferência</x:v>
      </x:c>
    </x:row>
    <x:row r="32" ht="30" customHeight="1">
      <x:c r="A32" s="2" t="str">
        <x:f>IF(COUNTA(A7:K7)=0,"",IF(A7="","Sem ID",A7))</x:f>
      </x:c>
      <x:c r="B32" s="2" t="str">
        <x:f>IF(COUNTA(A7:K7)=0,"",COUNTIFS(F7:H7,"&gt;0"))</x:f>
      </x:c>
      <x:c r="C32" s="46" t="str">
        <x:f>IF(OR(COUNTA(A7:K7)=0,B32=0),"",ROUND(SUM(IF(AND(ISNUMBER(F7),F7&gt;0),F7,0),IF(AND(ISNUMBER(G7),G7&gt;0),G7,0),IF(AND(ISNUMBER(H7),H7&gt;0),H7,0))/B32,2))</x:f>
      </x:c>
      <x:c r="D32" s="46" t="str">
        <x:f>IF(OR(COUNTA(A7:K7)=0,B32=0),"",ROUND(IF(B32=3,MEDIAN(F7:H7),C32),2))</x:f>
      </x:c>
      <x:c r="E32" s="46" t="str">
        <x:f>IF(OR(COUNTA(A7:K7)=0,B32=0,J32&lt;&gt;"Completo"),"",IF('Auxiliar'!$B$6="Média",C32,IF('Auxiliar'!$B$6="Mediana",D32,"")))</x:f>
      </x:c>
      <x:c r="F32" s="46" t="str">
        <x:f>IF(E32="","",ROUND(E7*E32,2))</x:f>
      </x:c>
      <x:c r="G32" s="46" t="str">
        <x:f>IF(OR(COUNTA(A7:K7)=0,J32&lt;&gt;"Completo",NOT(ISNUMBER(I7)),I7&lt;=0),"",ROUND(E7*I7,2))</x:f>
      </x:c>
      <x:c r="H32" s="46" t="str">
        <x:f>IF(OR(COUNTA(A7:K7)=0,J32&lt;&gt;"Completo",NOT(ISNUMBER(J7)),J7&lt;=0),"",ROUND(E7*J7,2))</x:f>
      </x:c>
      <x:c r="I32" s="46" t="str">
        <x:f>IF(OR(COUNTA(A7:K7)=0,J32&lt;&gt;"Completo",NOT(ISNUMBER(K7)),K7&lt;=0),"",ROUND(E7*K7,2))</x:f>
      </x:c>
      <x:c r="J32" s="47" t="str">
        <x:f>IF(COUNTA(A7:K7)=0,"",IF(A7="","Falta ID",IF(COUNTIFS($A$7:$A$26,A7)&gt;1,"ID duplicado",IF(OR(B7="",C7="",D7=""),"Falta cadastro",IF(AND(B7&lt;&gt;"Material",B7&lt;&gt;"Serviço"),"Categoria inválida",IF(OR(NOT(ISNUMBER(E7)),E7&lt;=0),"Quantidade inválida","Completo"))))))</x:f>
      </x:c>
      <x:c r="K32" s="47" t="str">
        <x:f>IF(COUNTA(A7:K7)=0,"",IF(OR(AND(NOT(ISBLANK(F7)),OR(NOT(ISNUMBER(F7)),F7&lt;=0)),AND(NOT(ISBLANK(G7)),OR(NOT(ISNUMBER(G7)),G7&lt;=0)),AND(NOT(ISBLANK(H7)),OR(NOT(ISNUMBER(H7)),H7&lt;=0)),AND(NOT(ISBLANK(I7)),OR(NOT(ISNUMBER(I7)),I7&lt;=0)),AND(NOT(ISBLANK(J7)),OR(NOT(ISNUMBER(J7)),J7&lt;=0)),AND(NOT(ISBLANK(K7)),OR(NOT(ISNUMBER(K7)),K7&lt;=0))),"Preço inválido",IF(B32=0,"Sem preço",IF(B32&lt;3,"Parcial","3 pesquisas"))))</x:f>
      </x:c>
    </x:row>
    <x:row r="33" ht="30" customHeight="1">
      <x:c r="A33" s="2" t="str">
        <x:f>IF(COUNTA(A8:K8)=0,"",IF(A8="","Sem ID",A8))</x:f>
      </x:c>
      <x:c r="B33" s="2" t="str">
        <x:f>IF(COUNTA(A8:K8)=0,"",COUNTIFS(F8:H8,"&gt;0"))</x:f>
      </x:c>
      <x:c r="C33" s="46" t="str">
        <x:f>IF(OR(COUNTA(A8:K8)=0,B33=0),"",ROUND(SUM(IF(AND(ISNUMBER(F8),F8&gt;0),F8,0),IF(AND(ISNUMBER(G8),G8&gt;0),G8,0),IF(AND(ISNUMBER(H8),H8&gt;0),H8,0))/B33,2))</x:f>
      </x:c>
      <x:c r="D33" s="46" t="str">
        <x:f>IF(OR(COUNTA(A8:K8)=0,B33=0),"",ROUND(IF(B33=3,MEDIAN(F8:H8),C33),2))</x:f>
      </x:c>
      <x:c r="E33" s="46" t="str">
        <x:f>IF(OR(COUNTA(A8:K8)=0,B33=0,J33&lt;&gt;"Completo"),"",IF('Auxiliar'!$B$6="Média",C33,IF('Auxiliar'!$B$6="Mediana",D33,"")))</x:f>
      </x:c>
      <x:c r="F33" s="46" t="str">
        <x:f>IF(E33="","",ROUND(E8*E33,2))</x:f>
      </x:c>
      <x:c r="G33" s="46" t="str">
        <x:f>IF(OR(COUNTA(A8:K8)=0,J33&lt;&gt;"Completo",NOT(ISNUMBER(I8)),I8&lt;=0),"",ROUND(E8*I8,2))</x:f>
      </x:c>
      <x:c r="H33" s="46" t="str">
        <x:f>IF(OR(COUNTA(A8:K8)=0,J33&lt;&gt;"Completo",NOT(ISNUMBER(J8)),J8&lt;=0),"",ROUND(E8*J8,2))</x:f>
      </x:c>
      <x:c r="I33" s="46" t="str">
        <x:f>IF(OR(COUNTA(A8:K8)=0,J33&lt;&gt;"Completo",NOT(ISNUMBER(K8)),K8&lt;=0),"",ROUND(E8*K8,2))</x:f>
      </x:c>
      <x:c r="J33" s="47" t="str">
        <x:f>IF(COUNTA(A8:K8)=0,"",IF(A8="","Falta ID",IF(COUNTIFS($A$7:$A$26,A8)&gt;1,"ID duplicado",IF(OR(B8="",C8="",D8=""),"Falta cadastro",IF(AND(B8&lt;&gt;"Material",B8&lt;&gt;"Serviço"),"Categoria inválida",IF(OR(NOT(ISNUMBER(E8)),E8&lt;=0),"Quantidade inválida","Completo"))))))</x:f>
      </x:c>
      <x:c r="K33" s="47" t="str">
        <x:f>IF(COUNTA(A8:K8)=0,"",IF(OR(AND(NOT(ISBLANK(F8)),OR(NOT(ISNUMBER(F8)),F8&lt;=0)),AND(NOT(ISBLANK(G8)),OR(NOT(ISNUMBER(G8)),G8&lt;=0)),AND(NOT(ISBLANK(H8)),OR(NOT(ISNUMBER(H8)),H8&lt;=0)),AND(NOT(ISBLANK(I8)),OR(NOT(ISNUMBER(I8)),I8&lt;=0)),AND(NOT(ISBLANK(J8)),OR(NOT(ISNUMBER(J8)),J8&lt;=0)),AND(NOT(ISBLANK(K8)),OR(NOT(ISNUMBER(K8)),K8&lt;=0))),"Preço inválido",IF(B33=0,"Sem preço",IF(B33&lt;3,"Parcial","3 pesquisas"))))</x:f>
      </x:c>
    </x:row>
    <x:row r="34" ht="30" customHeight="1">
      <x:c r="A34" s="2" t="str">
        <x:f>IF(COUNTA(A9:K9)=0,"",IF(A9="","Sem ID",A9))</x:f>
      </x:c>
      <x:c r="B34" s="2" t="str">
        <x:f>IF(COUNTA(A9:K9)=0,"",COUNTIFS(F9:H9,"&gt;0"))</x:f>
      </x:c>
      <x:c r="C34" s="46" t="str">
        <x:f>IF(OR(COUNTA(A9:K9)=0,B34=0),"",ROUND(SUM(IF(AND(ISNUMBER(F9),F9&gt;0),F9,0),IF(AND(ISNUMBER(G9),G9&gt;0),G9,0),IF(AND(ISNUMBER(H9),H9&gt;0),H9,0))/B34,2))</x:f>
      </x:c>
      <x:c r="D34" s="46" t="str">
        <x:f>IF(OR(COUNTA(A9:K9)=0,B34=0),"",ROUND(IF(B34=3,MEDIAN(F9:H9),C34),2))</x:f>
      </x:c>
      <x:c r="E34" s="46" t="str">
        <x:f>IF(OR(COUNTA(A9:K9)=0,B34=0,J34&lt;&gt;"Completo"),"",IF('Auxiliar'!$B$6="Média",C34,IF('Auxiliar'!$B$6="Mediana",D34,"")))</x:f>
      </x:c>
      <x:c r="F34" s="46" t="str">
        <x:f>IF(E34="","",ROUND(E9*E34,2))</x:f>
      </x:c>
      <x:c r="G34" s="46" t="str">
        <x:f>IF(OR(COUNTA(A9:K9)=0,J34&lt;&gt;"Completo",NOT(ISNUMBER(I9)),I9&lt;=0),"",ROUND(E9*I9,2))</x:f>
      </x:c>
      <x:c r="H34" s="46" t="str">
        <x:f>IF(OR(COUNTA(A9:K9)=0,J34&lt;&gt;"Completo",NOT(ISNUMBER(J9)),J9&lt;=0),"",ROUND(E9*J9,2))</x:f>
      </x:c>
      <x:c r="I34" s="46" t="str">
        <x:f>IF(OR(COUNTA(A9:K9)=0,J34&lt;&gt;"Completo",NOT(ISNUMBER(K9)),K9&lt;=0),"",ROUND(E9*K9,2))</x:f>
      </x:c>
      <x:c r="J34" s="47" t="str">
        <x:f>IF(COUNTA(A9:K9)=0,"",IF(A9="","Falta ID",IF(COUNTIFS($A$7:$A$26,A9)&gt;1,"ID duplicado",IF(OR(B9="",C9="",D9=""),"Falta cadastro",IF(AND(B9&lt;&gt;"Material",B9&lt;&gt;"Serviço"),"Categoria inválida",IF(OR(NOT(ISNUMBER(E9)),E9&lt;=0),"Quantidade inválida","Completo"))))))</x:f>
      </x:c>
      <x:c r="K34" s="47" t="str">
        <x:f>IF(COUNTA(A9:K9)=0,"",IF(OR(AND(NOT(ISBLANK(F9)),OR(NOT(ISNUMBER(F9)),F9&lt;=0)),AND(NOT(ISBLANK(G9)),OR(NOT(ISNUMBER(G9)),G9&lt;=0)),AND(NOT(ISBLANK(H9)),OR(NOT(ISNUMBER(H9)),H9&lt;=0)),AND(NOT(ISBLANK(I9)),OR(NOT(ISNUMBER(I9)),I9&lt;=0)),AND(NOT(ISBLANK(J9)),OR(NOT(ISNUMBER(J9)),J9&lt;=0)),AND(NOT(ISBLANK(K9)),OR(NOT(ISNUMBER(K9)),K9&lt;=0))),"Preço inválido",IF(B34=0,"Sem preço",IF(B34&lt;3,"Parcial","3 pesquisas"))))</x:f>
      </x:c>
    </x:row>
    <x:row r="35" ht="30" customHeight="1">
      <x:c r="A35" s="2" t="str">
        <x:f>IF(COUNTA(A10:K10)=0,"",IF(A10="","Sem ID",A10))</x:f>
      </x:c>
      <x:c r="B35" s="2" t="str">
        <x:f>IF(COUNTA(A10:K10)=0,"",COUNTIFS(F10:H10,"&gt;0"))</x:f>
      </x:c>
      <x:c r="C35" s="46" t="str">
        <x:f>IF(OR(COUNTA(A10:K10)=0,B35=0),"",ROUND(SUM(IF(AND(ISNUMBER(F10),F10&gt;0),F10,0),IF(AND(ISNUMBER(G10),G10&gt;0),G10,0),IF(AND(ISNUMBER(H10),H10&gt;0),H10,0))/B35,2))</x:f>
      </x:c>
      <x:c r="D35" s="46" t="str">
        <x:f>IF(OR(COUNTA(A10:K10)=0,B35=0),"",ROUND(IF(B35=3,MEDIAN(F10:H10),C35),2))</x:f>
      </x:c>
      <x:c r="E35" s="46" t="str">
        <x:f>IF(OR(COUNTA(A10:K10)=0,B35=0,J35&lt;&gt;"Completo"),"",IF('Auxiliar'!$B$6="Média",C35,IF('Auxiliar'!$B$6="Mediana",D35,"")))</x:f>
      </x:c>
      <x:c r="F35" s="46" t="str">
        <x:f>IF(E35="","",ROUND(E10*E35,2))</x:f>
      </x:c>
      <x:c r="G35" s="46" t="str">
        <x:f>IF(OR(COUNTA(A10:K10)=0,J35&lt;&gt;"Completo",NOT(ISNUMBER(I10)),I10&lt;=0),"",ROUND(E10*I10,2))</x:f>
      </x:c>
      <x:c r="H35" s="46" t="str">
        <x:f>IF(OR(COUNTA(A10:K10)=0,J35&lt;&gt;"Completo",NOT(ISNUMBER(J10)),J10&lt;=0),"",ROUND(E10*J10,2))</x:f>
      </x:c>
      <x:c r="I35" s="46" t="str">
        <x:f>IF(OR(COUNTA(A10:K10)=0,J35&lt;&gt;"Completo",NOT(ISNUMBER(K10)),K10&lt;=0),"",ROUND(E10*K10,2))</x:f>
      </x:c>
      <x:c r="J35" s="47" t="str">
        <x:f>IF(COUNTA(A10:K10)=0,"",IF(A10="","Falta ID",IF(COUNTIFS($A$7:$A$26,A10)&gt;1,"ID duplicado",IF(OR(B10="",C10="",D10=""),"Falta cadastro",IF(AND(B10&lt;&gt;"Material",B10&lt;&gt;"Serviço"),"Categoria inválida",IF(OR(NOT(ISNUMBER(E10)),E10&lt;=0),"Quantidade inválida","Completo"))))))</x:f>
      </x:c>
      <x:c r="K35" s="47" t="str">
        <x:f>IF(COUNTA(A10:K10)=0,"",IF(OR(AND(NOT(ISBLANK(F10)),OR(NOT(ISNUMBER(F10)),F10&lt;=0)),AND(NOT(ISBLANK(G10)),OR(NOT(ISNUMBER(G10)),G10&lt;=0)),AND(NOT(ISBLANK(H10)),OR(NOT(ISNUMBER(H10)),H10&lt;=0)),AND(NOT(ISBLANK(I10)),OR(NOT(ISNUMBER(I10)),I10&lt;=0)),AND(NOT(ISBLANK(J10)),OR(NOT(ISNUMBER(J10)),J10&lt;=0)),AND(NOT(ISBLANK(K10)),OR(NOT(ISNUMBER(K10)),K10&lt;=0))),"Preço inválido",IF(B35=0,"Sem preço",IF(B35&lt;3,"Parcial","3 pesquisas"))))</x:f>
      </x:c>
    </x:row>
    <x:row r="36" ht="30" customHeight="1">
      <x:c r="A36" s="2" t="str">
        <x:f>IF(COUNTA(A11:K11)=0,"",IF(A11="","Sem ID",A11))</x:f>
      </x:c>
      <x:c r="B36" s="2" t="str">
        <x:f>IF(COUNTA(A11:K11)=0,"",COUNTIFS(F11:H11,"&gt;0"))</x:f>
      </x:c>
      <x:c r="C36" s="46" t="str">
        <x:f>IF(OR(COUNTA(A11:K11)=0,B36=0),"",ROUND(SUM(IF(AND(ISNUMBER(F11),F11&gt;0),F11,0),IF(AND(ISNUMBER(G11),G11&gt;0),G11,0),IF(AND(ISNUMBER(H11),H11&gt;0),H11,0))/B36,2))</x:f>
      </x:c>
      <x:c r="D36" s="46" t="str">
        <x:f>IF(OR(COUNTA(A11:K11)=0,B36=0),"",ROUND(IF(B36=3,MEDIAN(F11:H11),C36),2))</x:f>
      </x:c>
      <x:c r="E36" s="46" t="str">
        <x:f>IF(OR(COUNTA(A11:K11)=0,B36=0,J36&lt;&gt;"Completo"),"",IF('Auxiliar'!$B$6="Média",C36,IF('Auxiliar'!$B$6="Mediana",D36,"")))</x:f>
      </x:c>
      <x:c r="F36" s="46" t="str">
        <x:f>IF(E36="","",ROUND(E11*E36,2))</x:f>
      </x:c>
      <x:c r="G36" s="46" t="str">
        <x:f>IF(OR(COUNTA(A11:K11)=0,J36&lt;&gt;"Completo",NOT(ISNUMBER(I11)),I11&lt;=0),"",ROUND(E11*I11,2))</x:f>
      </x:c>
      <x:c r="H36" s="46" t="str">
        <x:f>IF(OR(COUNTA(A11:K11)=0,J36&lt;&gt;"Completo",NOT(ISNUMBER(J11)),J11&lt;=0),"",ROUND(E11*J11,2))</x:f>
      </x:c>
      <x:c r="I36" s="46" t="str">
        <x:f>IF(OR(COUNTA(A11:K11)=0,J36&lt;&gt;"Completo",NOT(ISNUMBER(K11)),K11&lt;=0),"",ROUND(E11*K11,2))</x:f>
      </x:c>
      <x:c r="J36" s="47" t="str">
        <x:f>IF(COUNTA(A11:K11)=0,"",IF(A11="","Falta ID",IF(COUNTIFS($A$7:$A$26,A11)&gt;1,"ID duplicado",IF(OR(B11="",C11="",D11=""),"Falta cadastro",IF(AND(B11&lt;&gt;"Material",B11&lt;&gt;"Serviço"),"Categoria inválida",IF(OR(NOT(ISNUMBER(E11)),E11&lt;=0),"Quantidade inválida","Completo"))))))</x:f>
      </x:c>
      <x:c r="K36" s="47" t="str">
        <x:f>IF(COUNTA(A11:K11)=0,"",IF(OR(AND(NOT(ISBLANK(F11)),OR(NOT(ISNUMBER(F11)),F11&lt;=0)),AND(NOT(ISBLANK(G11)),OR(NOT(ISNUMBER(G11)),G11&lt;=0)),AND(NOT(ISBLANK(H11)),OR(NOT(ISNUMBER(H11)),H11&lt;=0)),AND(NOT(ISBLANK(I11)),OR(NOT(ISNUMBER(I11)),I11&lt;=0)),AND(NOT(ISBLANK(J11)),OR(NOT(ISNUMBER(J11)),J11&lt;=0)),AND(NOT(ISBLANK(K11)),OR(NOT(ISNUMBER(K11)),K11&lt;=0))),"Preço inválido",IF(B36=0,"Sem preço",IF(B36&lt;3,"Parcial","3 pesquisas"))))</x:f>
      </x:c>
    </x:row>
    <x:row r="37" ht="30" customHeight="1">
      <x:c r="A37" s="2" t="str">
        <x:f>IF(COUNTA(A12:K12)=0,"",IF(A12="","Sem ID",A12))</x:f>
      </x:c>
      <x:c r="B37" s="2" t="str">
        <x:f>IF(COUNTA(A12:K12)=0,"",COUNTIFS(F12:H12,"&gt;0"))</x:f>
      </x:c>
      <x:c r="C37" s="46" t="str">
        <x:f>IF(OR(COUNTA(A12:K12)=0,B37=0),"",ROUND(SUM(IF(AND(ISNUMBER(F12),F12&gt;0),F12,0),IF(AND(ISNUMBER(G12),G12&gt;0),G12,0),IF(AND(ISNUMBER(H12),H12&gt;0),H12,0))/B37,2))</x:f>
      </x:c>
      <x:c r="D37" s="46" t="str">
        <x:f>IF(OR(COUNTA(A12:K12)=0,B37=0),"",ROUND(IF(B37=3,MEDIAN(F12:H12),C37),2))</x:f>
      </x:c>
      <x:c r="E37" s="46" t="str">
        <x:f>IF(OR(COUNTA(A12:K12)=0,B37=0,J37&lt;&gt;"Completo"),"",IF('Auxiliar'!$B$6="Média",C37,IF('Auxiliar'!$B$6="Mediana",D37,"")))</x:f>
      </x:c>
      <x:c r="F37" s="46" t="str">
        <x:f>IF(E37="","",ROUND(E12*E37,2))</x:f>
      </x:c>
      <x:c r="G37" s="46" t="str">
        <x:f>IF(OR(COUNTA(A12:K12)=0,J37&lt;&gt;"Completo",NOT(ISNUMBER(I12)),I12&lt;=0),"",ROUND(E12*I12,2))</x:f>
      </x:c>
      <x:c r="H37" s="46" t="str">
        <x:f>IF(OR(COUNTA(A12:K12)=0,J37&lt;&gt;"Completo",NOT(ISNUMBER(J12)),J12&lt;=0),"",ROUND(E12*J12,2))</x:f>
      </x:c>
      <x:c r="I37" s="46" t="str">
        <x:f>IF(OR(COUNTA(A12:K12)=0,J37&lt;&gt;"Completo",NOT(ISNUMBER(K12)),K12&lt;=0),"",ROUND(E12*K12,2))</x:f>
      </x:c>
      <x:c r="J37" s="47" t="str">
        <x:f>IF(COUNTA(A12:K12)=0,"",IF(A12="","Falta ID",IF(COUNTIFS($A$7:$A$26,A12)&gt;1,"ID duplicado",IF(OR(B12="",C12="",D12=""),"Falta cadastro",IF(AND(B12&lt;&gt;"Material",B12&lt;&gt;"Serviço"),"Categoria inválida",IF(OR(NOT(ISNUMBER(E12)),E12&lt;=0),"Quantidade inválida","Completo"))))))</x:f>
      </x:c>
      <x:c r="K37" s="47" t="str">
        <x:f>IF(COUNTA(A12:K12)=0,"",IF(OR(AND(NOT(ISBLANK(F12)),OR(NOT(ISNUMBER(F12)),F12&lt;=0)),AND(NOT(ISBLANK(G12)),OR(NOT(ISNUMBER(G12)),G12&lt;=0)),AND(NOT(ISBLANK(H12)),OR(NOT(ISNUMBER(H12)),H12&lt;=0)),AND(NOT(ISBLANK(I12)),OR(NOT(ISNUMBER(I12)),I12&lt;=0)),AND(NOT(ISBLANK(J12)),OR(NOT(ISNUMBER(J12)),J12&lt;=0)),AND(NOT(ISBLANK(K12)),OR(NOT(ISNUMBER(K12)),K12&lt;=0))),"Preço inválido",IF(B37=0,"Sem preço",IF(B37&lt;3,"Parcial","3 pesquisas"))))</x:f>
      </x:c>
    </x:row>
    <x:row r="38" ht="30" customHeight="1">
      <x:c r="A38" s="2" t="str">
        <x:f>IF(COUNTA(A13:K13)=0,"",IF(A13="","Sem ID",A13))</x:f>
      </x:c>
      <x:c r="B38" s="2" t="str">
        <x:f>IF(COUNTA(A13:K13)=0,"",COUNTIFS(F13:H13,"&gt;0"))</x:f>
      </x:c>
      <x:c r="C38" s="46" t="str">
        <x:f>IF(OR(COUNTA(A13:K13)=0,B38=0),"",ROUND(SUM(IF(AND(ISNUMBER(F13),F13&gt;0),F13,0),IF(AND(ISNUMBER(G13),G13&gt;0),G13,0),IF(AND(ISNUMBER(H13),H13&gt;0),H13,0))/B38,2))</x:f>
      </x:c>
      <x:c r="D38" s="46" t="str">
        <x:f>IF(OR(COUNTA(A13:K13)=0,B38=0),"",ROUND(IF(B38=3,MEDIAN(F13:H13),C38),2))</x:f>
      </x:c>
      <x:c r="E38" s="46" t="str">
        <x:f>IF(OR(COUNTA(A13:K13)=0,B38=0,J38&lt;&gt;"Completo"),"",IF('Auxiliar'!$B$6="Média",C38,IF('Auxiliar'!$B$6="Mediana",D38,"")))</x:f>
      </x:c>
      <x:c r="F38" s="46" t="str">
        <x:f>IF(E38="","",ROUND(E13*E38,2))</x:f>
      </x:c>
      <x:c r="G38" s="46" t="str">
        <x:f>IF(OR(COUNTA(A13:K13)=0,J38&lt;&gt;"Completo",NOT(ISNUMBER(I13)),I13&lt;=0),"",ROUND(E13*I13,2))</x:f>
      </x:c>
      <x:c r="H38" s="46" t="str">
        <x:f>IF(OR(COUNTA(A13:K13)=0,J38&lt;&gt;"Completo",NOT(ISNUMBER(J13)),J13&lt;=0),"",ROUND(E13*J13,2))</x:f>
      </x:c>
      <x:c r="I38" s="46" t="str">
        <x:f>IF(OR(COUNTA(A13:K13)=0,J38&lt;&gt;"Completo",NOT(ISNUMBER(K13)),K13&lt;=0),"",ROUND(E13*K13,2))</x:f>
      </x:c>
      <x:c r="J38" s="47" t="str">
        <x:f>IF(COUNTA(A13:K13)=0,"",IF(A13="","Falta ID",IF(COUNTIFS($A$7:$A$26,A13)&gt;1,"ID duplicado",IF(OR(B13="",C13="",D13=""),"Falta cadastro",IF(AND(B13&lt;&gt;"Material",B13&lt;&gt;"Serviço"),"Categoria inválida",IF(OR(NOT(ISNUMBER(E13)),E13&lt;=0),"Quantidade inválida","Completo"))))))</x:f>
      </x:c>
      <x:c r="K38" s="47" t="str">
        <x:f>IF(COUNTA(A13:K13)=0,"",IF(OR(AND(NOT(ISBLANK(F13)),OR(NOT(ISNUMBER(F13)),F13&lt;=0)),AND(NOT(ISBLANK(G13)),OR(NOT(ISNUMBER(G13)),G13&lt;=0)),AND(NOT(ISBLANK(H13)),OR(NOT(ISNUMBER(H13)),H13&lt;=0)),AND(NOT(ISBLANK(I13)),OR(NOT(ISNUMBER(I13)),I13&lt;=0)),AND(NOT(ISBLANK(J13)),OR(NOT(ISNUMBER(J13)),J13&lt;=0)),AND(NOT(ISBLANK(K13)),OR(NOT(ISNUMBER(K13)),K13&lt;=0))),"Preço inválido",IF(B38=0,"Sem preço",IF(B38&lt;3,"Parcial","3 pesquisas"))))</x:f>
      </x:c>
    </x:row>
    <x:row r="39" ht="30" customHeight="1">
      <x:c r="A39" s="2" t="str">
        <x:f>IF(COUNTA(A14:K14)=0,"",IF(A14="","Sem ID",A14))</x:f>
      </x:c>
      <x:c r="B39" s="2" t="str">
        <x:f>IF(COUNTA(A14:K14)=0,"",COUNTIFS(F14:H14,"&gt;0"))</x:f>
      </x:c>
      <x:c r="C39" s="46" t="str">
        <x:f>IF(OR(COUNTA(A14:K14)=0,B39=0),"",ROUND(SUM(IF(AND(ISNUMBER(F14),F14&gt;0),F14,0),IF(AND(ISNUMBER(G14),G14&gt;0),G14,0),IF(AND(ISNUMBER(H14),H14&gt;0),H14,0))/B39,2))</x:f>
      </x:c>
      <x:c r="D39" s="46" t="str">
        <x:f>IF(OR(COUNTA(A14:K14)=0,B39=0),"",ROUND(IF(B39=3,MEDIAN(F14:H14),C39),2))</x:f>
      </x:c>
      <x:c r="E39" s="46" t="str">
        <x:f>IF(OR(COUNTA(A14:K14)=0,B39=0,J39&lt;&gt;"Completo"),"",IF('Auxiliar'!$B$6="Média",C39,IF('Auxiliar'!$B$6="Mediana",D39,"")))</x:f>
      </x:c>
      <x:c r="F39" s="46" t="str">
        <x:f>IF(E39="","",ROUND(E14*E39,2))</x:f>
      </x:c>
      <x:c r="G39" s="46" t="str">
        <x:f>IF(OR(COUNTA(A14:K14)=0,J39&lt;&gt;"Completo",NOT(ISNUMBER(I14)),I14&lt;=0),"",ROUND(E14*I14,2))</x:f>
      </x:c>
      <x:c r="H39" s="46" t="str">
        <x:f>IF(OR(COUNTA(A14:K14)=0,J39&lt;&gt;"Completo",NOT(ISNUMBER(J14)),J14&lt;=0),"",ROUND(E14*J14,2))</x:f>
      </x:c>
      <x:c r="I39" s="46" t="str">
        <x:f>IF(OR(COUNTA(A14:K14)=0,J39&lt;&gt;"Completo",NOT(ISNUMBER(K14)),K14&lt;=0),"",ROUND(E14*K14,2))</x:f>
      </x:c>
      <x:c r="J39" s="47" t="str">
        <x:f>IF(COUNTA(A14:K14)=0,"",IF(A14="","Falta ID",IF(COUNTIFS($A$7:$A$26,A14)&gt;1,"ID duplicado",IF(OR(B14="",C14="",D14=""),"Falta cadastro",IF(AND(B14&lt;&gt;"Material",B14&lt;&gt;"Serviço"),"Categoria inválida",IF(OR(NOT(ISNUMBER(E14)),E14&lt;=0),"Quantidade inválida","Completo"))))))</x:f>
      </x:c>
      <x:c r="K39" s="47" t="str">
        <x:f>IF(COUNTA(A14:K14)=0,"",IF(OR(AND(NOT(ISBLANK(F14)),OR(NOT(ISNUMBER(F14)),F14&lt;=0)),AND(NOT(ISBLANK(G14)),OR(NOT(ISNUMBER(G14)),G14&lt;=0)),AND(NOT(ISBLANK(H14)),OR(NOT(ISNUMBER(H14)),H14&lt;=0)),AND(NOT(ISBLANK(I14)),OR(NOT(ISNUMBER(I14)),I14&lt;=0)),AND(NOT(ISBLANK(J14)),OR(NOT(ISNUMBER(J14)),J14&lt;=0)),AND(NOT(ISBLANK(K14)),OR(NOT(ISNUMBER(K14)),K14&lt;=0))),"Preço inválido",IF(B39=0,"Sem preço",IF(B39&lt;3,"Parcial","3 pesquisas"))))</x:f>
      </x:c>
    </x:row>
    <x:row r="40" ht="30" customHeight="1">
      <x:c r="A40" s="2" t="str">
        <x:f>IF(COUNTA(A15:K15)=0,"",IF(A15="","Sem ID",A15))</x:f>
      </x:c>
      <x:c r="B40" s="2" t="str">
        <x:f>IF(COUNTA(A15:K15)=0,"",COUNTIFS(F15:H15,"&gt;0"))</x:f>
      </x:c>
      <x:c r="C40" s="46" t="str">
        <x:f>IF(OR(COUNTA(A15:K15)=0,B40=0),"",ROUND(SUM(IF(AND(ISNUMBER(F15),F15&gt;0),F15,0),IF(AND(ISNUMBER(G15),G15&gt;0),G15,0),IF(AND(ISNUMBER(H15),H15&gt;0),H15,0))/B40,2))</x:f>
      </x:c>
      <x:c r="D40" s="46" t="str">
        <x:f>IF(OR(COUNTA(A15:K15)=0,B40=0),"",ROUND(IF(B40=3,MEDIAN(F15:H15),C40),2))</x:f>
      </x:c>
      <x:c r="E40" s="46" t="str">
        <x:f>IF(OR(COUNTA(A15:K15)=0,B40=0,J40&lt;&gt;"Completo"),"",IF('Auxiliar'!$B$6="Média",C40,IF('Auxiliar'!$B$6="Mediana",D40,"")))</x:f>
      </x:c>
      <x:c r="F40" s="46" t="str">
        <x:f>IF(E40="","",ROUND(E15*E40,2))</x:f>
      </x:c>
      <x:c r="G40" s="46" t="str">
        <x:f>IF(OR(COUNTA(A15:K15)=0,J40&lt;&gt;"Completo",NOT(ISNUMBER(I15)),I15&lt;=0),"",ROUND(E15*I15,2))</x:f>
      </x:c>
      <x:c r="H40" s="46" t="str">
        <x:f>IF(OR(COUNTA(A15:K15)=0,J40&lt;&gt;"Completo",NOT(ISNUMBER(J15)),J15&lt;=0),"",ROUND(E15*J15,2))</x:f>
      </x:c>
      <x:c r="I40" s="46" t="str">
        <x:f>IF(OR(COUNTA(A15:K15)=0,J40&lt;&gt;"Completo",NOT(ISNUMBER(K15)),K15&lt;=0),"",ROUND(E15*K15,2))</x:f>
      </x:c>
      <x:c r="J40" s="47" t="str">
        <x:f>IF(COUNTA(A15:K15)=0,"",IF(A15="","Falta ID",IF(COUNTIFS($A$7:$A$26,A15)&gt;1,"ID duplicado",IF(OR(B15="",C15="",D15=""),"Falta cadastro",IF(AND(B15&lt;&gt;"Material",B15&lt;&gt;"Serviço"),"Categoria inválida",IF(OR(NOT(ISNUMBER(E15)),E15&lt;=0),"Quantidade inválida","Completo"))))))</x:f>
      </x:c>
      <x:c r="K40" s="47" t="str">
        <x:f>IF(COUNTA(A15:K15)=0,"",IF(OR(AND(NOT(ISBLANK(F15)),OR(NOT(ISNUMBER(F15)),F15&lt;=0)),AND(NOT(ISBLANK(G15)),OR(NOT(ISNUMBER(G15)),G15&lt;=0)),AND(NOT(ISBLANK(H15)),OR(NOT(ISNUMBER(H15)),H15&lt;=0)),AND(NOT(ISBLANK(I15)),OR(NOT(ISNUMBER(I15)),I15&lt;=0)),AND(NOT(ISBLANK(J15)),OR(NOT(ISNUMBER(J15)),J15&lt;=0)),AND(NOT(ISBLANK(K15)),OR(NOT(ISNUMBER(K15)),K15&lt;=0))),"Preço inválido",IF(B40=0,"Sem preço",IF(B40&lt;3,"Parcial","3 pesquisas"))))</x:f>
      </x:c>
    </x:row>
    <x:row r="41" ht="30" customHeight="1">
      <x:c r="A41" s="2" t="str">
        <x:f>IF(COUNTA(A16:K16)=0,"",IF(A16="","Sem ID",A16))</x:f>
      </x:c>
      <x:c r="B41" s="2" t="str">
        <x:f>IF(COUNTA(A16:K16)=0,"",COUNTIFS(F16:H16,"&gt;0"))</x:f>
      </x:c>
      <x:c r="C41" s="46" t="str">
        <x:f>IF(OR(COUNTA(A16:K16)=0,B41=0),"",ROUND(SUM(IF(AND(ISNUMBER(F16),F16&gt;0),F16,0),IF(AND(ISNUMBER(G16),G16&gt;0),G16,0),IF(AND(ISNUMBER(H16),H16&gt;0),H16,0))/B41,2))</x:f>
      </x:c>
      <x:c r="D41" s="46" t="str">
        <x:f>IF(OR(COUNTA(A16:K16)=0,B41=0),"",ROUND(IF(B41=3,MEDIAN(F16:H16),C41),2))</x:f>
      </x:c>
      <x:c r="E41" s="46" t="str">
        <x:f>IF(OR(COUNTA(A16:K16)=0,B41=0,J41&lt;&gt;"Completo"),"",IF('Auxiliar'!$B$6="Média",C41,IF('Auxiliar'!$B$6="Mediana",D41,"")))</x:f>
      </x:c>
      <x:c r="F41" s="46" t="str">
        <x:f>IF(E41="","",ROUND(E16*E41,2))</x:f>
      </x:c>
      <x:c r="G41" s="46" t="str">
        <x:f>IF(OR(COUNTA(A16:K16)=0,J41&lt;&gt;"Completo",NOT(ISNUMBER(I16)),I16&lt;=0),"",ROUND(E16*I16,2))</x:f>
      </x:c>
      <x:c r="H41" s="46" t="str">
        <x:f>IF(OR(COUNTA(A16:K16)=0,J41&lt;&gt;"Completo",NOT(ISNUMBER(J16)),J16&lt;=0),"",ROUND(E16*J16,2))</x:f>
      </x:c>
      <x:c r="I41" s="46" t="str">
        <x:f>IF(OR(COUNTA(A16:K16)=0,J41&lt;&gt;"Completo",NOT(ISNUMBER(K16)),K16&lt;=0),"",ROUND(E16*K16,2))</x:f>
      </x:c>
      <x:c r="J41" s="47" t="str">
        <x:f>IF(COUNTA(A16:K16)=0,"",IF(A16="","Falta ID",IF(COUNTIFS($A$7:$A$26,A16)&gt;1,"ID duplicado",IF(OR(B16="",C16="",D16=""),"Falta cadastro",IF(AND(B16&lt;&gt;"Material",B16&lt;&gt;"Serviço"),"Categoria inválida",IF(OR(NOT(ISNUMBER(E16)),E16&lt;=0),"Quantidade inválida","Completo"))))))</x:f>
      </x:c>
      <x:c r="K41" s="47" t="str">
        <x:f>IF(COUNTA(A16:K16)=0,"",IF(OR(AND(NOT(ISBLANK(F16)),OR(NOT(ISNUMBER(F16)),F16&lt;=0)),AND(NOT(ISBLANK(G16)),OR(NOT(ISNUMBER(G16)),G16&lt;=0)),AND(NOT(ISBLANK(H16)),OR(NOT(ISNUMBER(H16)),H16&lt;=0)),AND(NOT(ISBLANK(I16)),OR(NOT(ISNUMBER(I16)),I16&lt;=0)),AND(NOT(ISBLANK(J16)),OR(NOT(ISNUMBER(J16)),J16&lt;=0)),AND(NOT(ISBLANK(K16)),OR(NOT(ISNUMBER(K16)),K16&lt;=0))),"Preço inválido",IF(B41=0,"Sem preço",IF(B41&lt;3,"Parcial","3 pesquisas"))))</x:f>
      </x:c>
    </x:row>
    <x:row r="42" ht="30" customHeight="1">
      <x:c r="A42" s="2" t="str">
        <x:f>IF(COUNTA(A17:K17)=0,"",IF(A17="","Sem ID",A17))</x:f>
      </x:c>
      <x:c r="B42" s="2" t="str">
        <x:f>IF(COUNTA(A17:K17)=0,"",COUNTIFS(F17:H17,"&gt;0"))</x:f>
      </x:c>
      <x:c r="C42" s="46" t="str">
        <x:f>IF(OR(COUNTA(A17:K17)=0,B42=0),"",ROUND(SUM(IF(AND(ISNUMBER(F17),F17&gt;0),F17,0),IF(AND(ISNUMBER(G17),G17&gt;0),G17,0),IF(AND(ISNUMBER(H17),H17&gt;0),H17,0))/B42,2))</x:f>
      </x:c>
      <x:c r="D42" s="46" t="str">
        <x:f>IF(OR(COUNTA(A17:K17)=0,B42=0),"",ROUND(IF(B42=3,MEDIAN(F17:H17),C42),2))</x:f>
      </x:c>
      <x:c r="E42" s="46" t="str">
        <x:f>IF(OR(COUNTA(A17:K17)=0,B42=0,J42&lt;&gt;"Completo"),"",IF('Auxiliar'!$B$6="Média",C42,IF('Auxiliar'!$B$6="Mediana",D42,"")))</x:f>
      </x:c>
      <x:c r="F42" s="46" t="str">
        <x:f>IF(E42="","",ROUND(E17*E42,2))</x:f>
      </x:c>
      <x:c r="G42" s="46" t="str">
        <x:f>IF(OR(COUNTA(A17:K17)=0,J42&lt;&gt;"Completo",NOT(ISNUMBER(I17)),I17&lt;=0),"",ROUND(E17*I17,2))</x:f>
      </x:c>
      <x:c r="H42" s="46" t="str">
        <x:f>IF(OR(COUNTA(A17:K17)=0,J42&lt;&gt;"Completo",NOT(ISNUMBER(J17)),J17&lt;=0),"",ROUND(E17*J17,2))</x:f>
      </x:c>
      <x:c r="I42" s="46" t="str">
        <x:f>IF(OR(COUNTA(A17:K17)=0,J42&lt;&gt;"Completo",NOT(ISNUMBER(K17)),K17&lt;=0),"",ROUND(E17*K17,2))</x:f>
      </x:c>
      <x:c r="J42" s="47" t="str">
        <x:f>IF(COUNTA(A17:K17)=0,"",IF(A17="","Falta ID",IF(COUNTIFS($A$7:$A$26,A17)&gt;1,"ID duplicado",IF(OR(B17="",C17="",D17=""),"Falta cadastro",IF(AND(B17&lt;&gt;"Material",B17&lt;&gt;"Serviço"),"Categoria inválida",IF(OR(NOT(ISNUMBER(E17)),E17&lt;=0),"Quantidade inválida","Completo"))))))</x:f>
      </x:c>
      <x:c r="K42" s="47" t="str">
        <x:f>IF(COUNTA(A17:K17)=0,"",IF(OR(AND(NOT(ISBLANK(F17)),OR(NOT(ISNUMBER(F17)),F17&lt;=0)),AND(NOT(ISBLANK(G17)),OR(NOT(ISNUMBER(G17)),G17&lt;=0)),AND(NOT(ISBLANK(H17)),OR(NOT(ISNUMBER(H17)),H17&lt;=0)),AND(NOT(ISBLANK(I17)),OR(NOT(ISNUMBER(I17)),I17&lt;=0)),AND(NOT(ISBLANK(J17)),OR(NOT(ISNUMBER(J17)),J17&lt;=0)),AND(NOT(ISBLANK(K17)),OR(NOT(ISNUMBER(K17)),K17&lt;=0))),"Preço inválido",IF(B42=0,"Sem preço",IF(B42&lt;3,"Parcial","3 pesquisas"))))</x:f>
      </x:c>
    </x:row>
    <x:row r="43" ht="30" customHeight="1">
      <x:c r="A43" s="2" t="str">
        <x:f>IF(COUNTA(A18:K18)=0,"",IF(A18="","Sem ID",A18))</x:f>
      </x:c>
      <x:c r="B43" s="2" t="str">
        <x:f>IF(COUNTA(A18:K18)=0,"",COUNTIFS(F18:H18,"&gt;0"))</x:f>
      </x:c>
      <x:c r="C43" s="46" t="str">
        <x:f>IF(OR(COUNTA(A18:K18)=0,B43=0),"",ROUND(SUM(IF(AND(ISNUMBER(F18),F18&gt;0),F18,0),IF(AND(ISNUMBER(G18),G18&gt;0),G18,0),IF(AND(ISNUMBER(H18),H18&gt;0),H18,0))/B43,2))</x:f>
      </x:c>
      <x:c r="D43" s="46" t="str">
        <x:f>IF(OR(COUNTA(A18:K18)=0,B43=0),"",ROUND(IF(B43=3,MEDIAN(F18:H18),C43),2))</x:f>
      </x:c>
      <x:c r="E43" s="46" t="str">
        <x:f>IF(OR(COUNTA(A18:K18)=0,B43=0,J43&lt;&gt;"Completo"),"",IF('Auxiliar'!$B$6="Média",C43,IF('Auxiliar'!$B$6="Mediana",D43,"")))</x:f>
      </x:c>
      <x:c r="F43" s="46" t="str">
        <x:f>IF(E43="","",ROUND(E18*E43,2))</x:f>
      </x:c>
      <x:c r="G43" s="46" t="str">
        <x:f>IF(OR(COUNTA(A18:K18)=0,J43&lt;&gt;"Completo",NOT(ISNUMBER(I18)),I18&lt;=0),"",ROUND(E18*I18,2))</x:f>
      </x:c>
      <x:c r="H43" s="46" t="str">
        <x:f>IF(OR(COUNTA(A18:K18)=0,J43&lt;&gt;"Completo",NOT(ISNUMBER(J18)),J18&lt;=0),"",ROUND(E18*J18,2))</x:f>
      </x:c>
      <x:c r="I43" s="46" t="str">
        <x:f>IF(OR(COUNTA(A18:K18)=0,J43&lt;&gt;"Completo",NOT(ISNUMBER(K18)),K18&lt;=0),"",ROUND(E18*K18,2))</x:f>
      </x:c>
      <x:c r="J43" s="47" t="str">
        <x:f>IF(COUNTA(A18:K18)=0,"",IF(A18="","Falta ID",IF(COUNTIFS($A$7:$A$26,A18)&gt;1,"ID duplicado",IF(OR(B18="",C18="",D18=""),"Falta cadastro",IF(AND(B18&lt;&gt;"Material",B18&lt;&gt;"Serviço"),"Categoria inválida",IF(OR(NOT(ISNUMBER(E18)),E18&lt;=0),"Quantidade inválida","Completo"))))))</x:f>
      </x:c>
      <x:c r="K43" s="47" t="str">
        <x:f>IF(COUNTA(A18:K18)=0,"",IF(OR(AND(NOT(ISBLANK(F18)),OR(NOT(ISNUMBER(F18)),F18&lt;=0)),AND(NOT(ISBLANK(G18)),OR(NOT(ISNUMBER(G18)),G18&lt;=0)),AND(NOT(ISBLANK(H18)),OR(NOT(ISNUMBER(H18)),H18&lt;=0)),AND(NOT(ISBLANK(I18)),OR(NOT(ISNUMBER(I18)),I18&lt;=0)),AND(NOT(ISBLANK(J18)),OR(NOT(ISNUMBER(J18)),J18&lt;=0)),AND(NOT(ISBLANK(K18)),OR(NOT(ISNUMBER(K18)),K18&lt;=0))),"Preço inválido",IF(B43=0,"Sem preço",IF(B43&lt;3,"Parcial","3 pesquisas"))))</x:f>
      </x:c>
    </x:row>
    <x:row r="44" ht="30" customHeight="1">
      <x:c r="A44" s="2" t="str">
        <x:f>IF(COUNTA(A19:K19)=0,"",IF(A19="","Sem ID",A19))</x:f>
      </x:c>
      <x:c r="B44" s="2" t="str">
        <x:f>IF(COUNTA(A19:K19)=0,"",COUNTIFS(F19:H19,"&gt;0"))</x:f>
      </x:c>
      <x:c r="C44" s="46" t="str">
        <x:f>IF(OR(COUNTA(A19:K19)=0,B44=0),"",ROUND(SUM(IF(AND(ISNUMBER(F19),F19&gt;0),F19,0),IF(AND(ISNUMBER(G19),G19&gt;0),G19,0),IF(AND(ISNUMBER(H19),H19&gt;0),H19,0))/B44,2))</x:f>
      </x:c>
      <x:c r="D44" s="46" t="str">
        <x:f>IF(OR(COUNTA(A19:K19)=0,B44=0),"",ROUND(IF(B44=3,MEDIAN(F19:H19),C44),2))</x:f>
      </x:c>
      <x:c r="E44" s="46" t="str">
        <x:f>IF(OR(COUNTA(A19:K19)=0,B44=0,J44&lt;&gt;"Completo"),"",IF('Auxiliar'!$B$6="Média",C44,IF('Auxiliar'!$B$6="Mediana",D44,"")))</x:f>
      </x:c>
      <x:c r="F44" s="46" t="str">
        <x:f>IF(E44="","",ROUND(E19*E44,2))</x:f>
      </x:c>
      <x:c r="G44" s="46" t="str">
        <x:f>IF(OR(COUNTA(A19:K19)=0,J44&lt;&gt;"Completo",NOT(ISNUMBER(I19)),I19&lt;=0),"",ROUND(E19*I19,2))</x:f>
      </x:c>
      <x:c r="H44" s="46" t="str">
        <x:f>IF(OR(COUNTA(A19:K19)=0,J44&lt;&gt;"Completo",NOT(ISNUMBER(J19)),J19&lt;=0),"",ROUND(E19*J19,2))</x:f>
      </x:c>
      <x:c r="I44" s="46" t="str">
        <x:f>IF(OR(COUNTA(A19:K19)=0,J44&lt;&gt;"Completo",NOT(ISNUMBER(K19)),K19&lt;=0),"",ROUND(E19*K19,2))</x:f>
      </x:c>
      <x:c r="J44" s="47" t="str">
        <x:f>IF(COUNTA(A19:K19)=0,"",IF(A19="","Falta ID",IF(COUNTIFS($A$7:$A$26,A19)&gt;1,"ID duplicado",IF(OR(B19="",C19="",D19=""),"Falta cadastro",IF(AND(B19&lt;&gt;"Material",B19&lt;&gt;"Serviço"),"Categoria inválida",IF(OR(NOT(ISNUMBER(E19)),E19&lt;=0),"Quantidade inválida","Completo"))))))</x:f>
      </x:c>
      <x:c r="K44" s="47" t="str">
        <x:f>IF(COUNTA(A19:K19)=0,"",IF(OR(AND(NOT(ISBLANK(F19)),OR(NOT(ISNUMBER(F19)),F19&lt;=0)),AND(NOT(ISBLANK(G19)),OR(NOT(ISNUMBER(G19)),G19&lt;=0)),AND(NOT(ISBLANK(H19)),OR(NOT(ISNUMBER(H19)),H19&lt;=0)),AND(NOT(ISBLANK(I19)),OR(NOT(ISNUMBER(I19)),I19&lt;=0)),AND(NOT(ISBLANK(J19)),OR(NOT(ISNUMBER(J19)),J19&lt;=0)),AND(NOT(ISBLANK(K19)),OR(NOT(ISNUMBER(K19)),K19&lt;=0))),"Preço inválido",IF(B44=0,"Sem preço",IF(B44&lt;3,"Parcial","3 pesquisas"))))</x:f>
      </x:c>
    </x:row>
    <x:row r="45" ht="30" customHeight="1">
      <x:c r="A45" s="2" t="str">
        <x:f>IF(COUNTA(A20:K20)=0,"",IF(A20="","Sem ID",A20))</x:f>
      </x:c>
      <x:c r="B45" s="2" t="str">
        <x:f>IF(COUNTA(A20:K20)=0,"",COUNTIFS(F20:H20,"&gt;0"))</x:f>
      </x:c>
      <x:c r="C45" s="46" t="str">
        <x:f>IF(OR(COUNTA(A20:K20)=0,B45=0),"",ROUND(SUM(IF(AND(ISNUMBER(F20),F20&gt;0),F20,0),IF(AND(ISNUMBER(G20),G20&gt;0),G20,0),IF(AND(ISNUMBER(H20),H20&gt;0),H20,0))/B45,2))</x:f>
      </x:c>
      <x:c r="D45" s="46" t="str">
        <x:f>IF(OR(COUNTA(A20:K20)=0,B45=0),"",ROUND(IF(B45=3,MEDIAN(F20:H20),C45),2))</x:f>
      </x:c>
      <x:c r="E45" s="46" t="str">
        <x:f>IF(OR(COUNTA(A20:K20)=0,B45=0,J45&lt;&gt;"Completo"),"",IF('Auxiliar'!$B$6="Média",C45,IF('Auxiliar'!$B$6="Mediana",D45,"")))</x:f>
      </x:c>
      <x:c r="F45" s="46" t="str">
        <x:f>IF(E45="","",ROUND(E20*E45,2))</x:f>
      </x:c>
      <x:c r="G45" s="46" t="str">
        <x:f>IF(OR(COUNTA(A20:K20)=0,J45&lt;&gt;"Completo",NOT(ISNUMBER(I20)),I20&lt;=0),"",ROUND(E20*I20,2))</x:f>
      </x:c>
      <x:c r="H45" s="46" t="str">
        <x:f>IF(OR(COUNTA(A20:K20)=0,J45&lt;&gt;"Completo",NOT(ISNUMBER(J20)),J20&lt;=0),"",ROUND(E20*J20,2))</x:f>
      </x:c>
      <x:c r="I45" s="46" t="str">
        <x:f>IF(OR(COUNTA(A20:K20)=0,J45&lt;&gt;"Completo",NOT(ISNUMBER(K20)),K20&lt;=0),"",ROUND(E20*K20,2))</x:f>
      </x:c>
      <x:c r="J45" s="47" t="str">
        <x:f>IF(COUNTA(A20:K20)=0,"",IF(A20="","Falta ID",IF(COUNTIFS($A$7:$A$26,A20)&gt;1,"ID duplicado",IF(OR(B20="",C20="",D20=""),"Falta cadastro",IF(AND(B20&lt;&gt;"Material",B20&lt;&gt;"Serviço"),"Categoria inválida",IF(OR(NOT(ISNUMBER(E20)),E20&lt;=0),"Quantidade inválida","Completo"))))))</x:f>
      </x:c>
      <x:c r="K45" s="47" t="str">
        <x:f>IF(COUNTA(A20:K20)=0,"",IF(OR(AND(NOT(ISBLANK(F20)),OR(NOT(ISNUMBER(F20)),F20&lt;=0)),AND(NOT(ISBLANK(G20)),OR(NOT(ISNUMBER(G20)),G20&lt;=0)),AND(NOT(ISBLANK(H20)),OR(NOT(ISNUMBER(H20)),H20&lt;=0)),AND(NOT(ISBLANK(I20)),OR(NOT(ISNUMBER(I20)),I20&lt;=0)),AND(NOT(ISBLANK(J20)),OR(NOT(ISNUMBER(J20)),J20&lt;=0)),AND(NOT(ISBLANK(K20)),OR(NOT(ISNUMBER(K20)),K20&lt;=0))),"Preço inválido",IF(B45=0,"Sem preço",IF(B45&lt;3,"Parcial","3 pesquisas"))))</x:f>
      </x:c>
    </x:row>
    <x:row r="46" ht="30" customHeight="1">
      <x:c r="A46" s="2" t="str">
        <x:f>IF(COUNTA(A21:K21)=0,"",IF(A21="","Sem ID",A21))</x:f>
      </x:c>
      <x:c r="B46" s="2" t="str">
        <x:f>IF(COUNTA(A21:K21)=0,"",COUNTIFS(F21:H21,"&gt;0"))</x:f>
      </x:c>
      <x:c r="C46" s="46" t="str">
        <x:f>IF(OR(COUNTA(A21:K21)=0,B46=0),"",ROUND(SUM(IF(AND(ISNUMBER(F21),F21&gt;0),F21,0),IF(AND(ISNUMBER(G21),G21&gt;0),G21,0),IF(AND(ISNUMBER(H21),H21&gt;0),H21,0))/B46,2))</x:f>
      </x:c>
      <x:c r="D46" s="46" t="str">
        <x:f>IF(OR(COUNTA(A21:K21)=0,B46=0),"",ROUND(IF(B46=3,MEDIAN(F21:H21),C46),2))</x:f>
      </x:c>
      <x:c r="E46" s="46" t="str">
        <x:f>IF(OR(COUNTA(A21:K21)=0,B46=0,J46&lt;&gt;"Completo"),"",IF('Auxiliar'!$B$6="Média",C46,IF('Auxiliar'!$B$6="Mediana",D46,"")))</x:f>
      </x:c>
      <x:c r="F46" s="46" t="str">
        <x:f>IF(E46="","",ROUND(E21*E46,2))</x:f>
      </x:c>
      <x:c r="G46" s="46" t="str">
        <x:f>IF(OR(COUNTA(A21:K21)=0,J46&lt;&gt;"Completo",NOT(ISNUMBER(I21)),I21&lt;=0),"",ROUND(E21*I21,2))</x:f>
      </x:c>
      <x:c r="H46" s="46" t="str">
        <x:f>IF(OR(COUNTA(A21:K21)=0,J46&lt;&gt;"Completo",NOT(ISNUMBER(J21)),J21&lt;=0),"",ROUND(E21*J21,2))</x:f>
      </x:c>
      <x:c r="I46" s="46" t="str">
        <x:f>IF(OR(COUNTA(A21:K21)=0,J46&lt;&gt;"Completo",NOT(ISNUMBER(K21)),K21&lt;=0),"",ROUND(E21*K21,2))</x:f>
      </x:c>
      <x:c r="J46" s="47" t="str">
        <x:f>IF(COUNTA(A21:K21)=0,"",IF(A21="","Falta ID",IF(COUNTIFS($A$7:$A$26,A21)&gt;1,"ID duplicado",IF(OR(B21="",C21="",D21=""),"Falta cadastro",IF(AND(B21&lt;&gt;"Material",B21&lt;&gt;"Serviço"),"Categoria inválida",IF(OR(NOT(ISNUMBER(E21)),E21&lt;=0),"Quantidade inválida","Completo"))))))</x:f>
      </x:c>
      <x:c r="K46" s="47" t="str">
        <x:f>IF(COUNTA(A21:K21)=0,"",IF(OR(AND(NOT(ISBLANK(F21)),OR(NOT(ISNUMBER(F21)),F21&lt;=0)),AND(NOT(ISBLANK(G21)),OR(NOT(ISNUMBER(G21)),G21&lt;=0)),AND(NOT(ISBLANK(H21)),OR(NOT(ISNUMBER(H21)),H21&lt;=0)),AND(NOT(ISBLANK(I21)),OR(NOT(ISNUMBER(I21)),I21&lt;=0)),AND(NOT(ISBLANK(J21)),OR(NOT(ISNUMBER(J21)),J21&lt;=0)),AND(NOT(ISBLANK(K21)),OR(NOT(ISNUMBER(K21)),K21&lt;=0))),"Preço inválido",IF(B46=0,"Sem preço",IF(B46&lt;3,"Parcial","3 pesquisas"))))</x:f>
      </x:c>
    </x:row>
    <x:row r="47" ht="30" customHeight="1">
      <x:c r="A47" s="2" t="str">
        <x:f>IF(COUNTA(A22:K22)=0,"",IF(A22="","Sem ID",A22))</x:f>
      </x:c>
      <x:c r="B47" s="2" t="str">
        <x:f>IF(COUNTA(A22:K22)=0,"",COUNTIFS(F22:H22,"&gt;0"))</x:f>
      </x:c>
      <x:c r="C47" s="46" t="str">
        <x:f>IF(OR(COUNTA(A22:K22)=0,B47=0),"",ROUND(SUM(IF(AND(ISNUMBER(F22),F22&gt;0),F22,0),IF(AND(ISNUMBER(G22),G22&gt;0),G22,0),IF(AND(ISNUMBER(H22),H22&gt;0),H22,0))/B47,2))</x:f>
      </x:c>
      <x:c r="D47" s="46" t="str">
        <x:f>IF(OR(COUNTA(A22:K22)=0,B47=0),"",ROUND(IF(B47=3,MEDIAN(F22:H22),C47),2))</x:f>
      </x:c>
      <x:c r="E47" s="46" t="str">
        <x:f>IF(OR(COUNTA(A22:K22)=0,B47=0,J47&lt;&gt;"Completo"),"",IF('Auxiliar'!$B$6="Média",C47,IF('Auxiliar'!$B$6="Mediana",D47,"")))</x:f>
      </x:c>
      <x:c r="F47" s="46" t="str">
        <x:f>IF(E47="","",ROUND(E22*E47,2))</x:f>
      </x:c>
      <x:c r="G47" s="46" t="str">
        <x:f>IF(OR(COUNTA(A22:K22)=0,J47&lt;&gt;"Completo",NOT(ISNUMBER(I22)),I22&lt;=0),"",ROUND(E22*I22,2))</x:f>
      </x:c>
      <x:c r="H47" s="46" t="str">
        <x:f>IF(OR(COUNTA(A22:K22)=0,J47&lt;&gt;"Completo",NOT(ISNUMBER(J22)),J22&lt;=0),"",ROUND(E22*J22,2))</x:f>
      </x:c>
      <x:c r="I47" s="46" t="str">
        <x:f>IF(OR(COUNTA(A22:K22)=0,J47&lt;&gt;"Completo",NOT(ISNUMBER(K22)),K22&lt;=0),"",ROUND(E22*K22,2))</x:f>
      </x:c>
      <x:c r="J47" s="47" t="str">
        <x:f>IF(COUNTA(A22:K22)=0,"",IF(A22="","Falta ID",IF(COUNTIFS($A$7:$A$26,A22)&gt;1,"ID duplicado",IF(OR(B22="",C22="",D22=""),"Falta cadastro",IF(AND(B22&lt;&gt;"Material",B22&lt;&gt;"Serviço"),"Categoria inválida",IF(OR(NOT(ISNUMBER(E22)),E22&lt;=0),"Quantidade inválida","Completo"))))))</x:f>
      </x:c>
      <x:c r="K47" s="47" t="str">
        <x:f>IF(COUNTA(A22:K22)=0,"",IF(OR(AND(NOT(ISBLANK(F22)),OR(NOT(ISNUMBER(F22)),F22&lt;=0)),AND(NOT(ISBLANK(G22)),OR(NOT(ISNUMBER(G22)),G22&lt;=0)),AND(NOT(ISBLANK(H22)),OR(NOT(ISNUMBER(H22)),H22&lt;=0)),AND(NOT(ISBLANK(I22)),OR(NOT(ISNUMBER(I22)),I22&lt;=0)),AND(NOT(ISBLANK(J22)),OR(NOT(ISNUMBER(J22)),J22&lt;=0)),AND(NOT(ISBLANK(K22)),OR(NOT(ISNUMBER(K22)),K22&lt;=0))),"Preço inválido",IF(B47=0,"Sem preço",IF(B47&lt;3,"Parcial","3 pesquisas"))))</x:f>
      </x:c>
    </x:row>
    <x:row r="48" ht="30" customHeight="1">
      <x:c r="A48" s="2" t="str">
        <x:f>IF(COUNTA(A23:K23)=0,"",IF(A23="","Sem ID",A23))</x:f>
      </x:c>
      <x:c r="B48" s="2" t="str">
        <x:f>IF(COUNTA(A23:K23)=0,"",COUNTIFS(F23:H23,"&gt;0"))</x:f>
      </x:c>
      <x:c r="C48" s="46" t="str">
        <x:f>IF(OR(COUNTA(A23:K23)=0,B48=0),"",ROUND(SUM(IF(AND(ISNUMBER(F23),F23&gt;0),F23,0),IF(AND(ISNUMBER(G23),G23&gt;0),G23,0),IF(AND(ISNUMBER(H23),H23&gt;0),H23,0))/B48,2))</x:f>
      </x:c>
      <x:c r="D48" s="46" t="str">
        <x:f>IF(OR(COUNTA(A23:K23)=0,B48=0),"",ROUND(IF(B48=3,MEDIAN(F23:H23),C48),2))</x:f>
      </x:c>
      <x:c r="E48" s="46" t="str">
        <x:f>IF(OR(COUNTA(A23:K23)=0,B48=0,J48&lt;&gt;"Completo"),"",IF('Auxiliar'!$B$6="Média",C48,IF('Auxiliar'!$B$6="Mediana",D48,"")))</x:f>
      </x:c>
      <x:c r="F48" s="46" t="str">
        <x:f>IF(E48="","",ROUND(E23*E48,2))</x:f>
      </x:c>
      <x:c r="G48" s="46" t="str">
        <x:f>IF(OR(COUNTA(A23:K23)=0,J48&lt;&gt;"Completo",NOT(ISNUMBER(I23)),I23&lt;=0),"",ROUND(E23*I23,2))</x:f>
      </x:c>
      <x:c r="H48" s="46" t="str">
        <x:f>IF(OR(COUNTA(A23:K23)=0,J48&lt;&gt;"Completo",NOT(ISNUMBER(J23)),J23&lt;=0),"",ROUND(E23*J23,2))</x:f>
      </x:c>
      <x:c r="I48" s="46" t="str">
        <x:f>IF(OR(COUNTA(A23:K23)=0,J48&lt;&gt;"Completo",NOT(ISNUMBER(K23)),K23&lt;=0),"",ROUND(E23*K23,2))</x:f>
      </x:c>
      <x:c r="J48" s="47" t="str">
        <x:f>IF(COUNTA(A23:K23)=0,"",IF(A23="","Falta ID",IF(COUNTIFS($A$7:$A$26,A23)&gt;1,"ID duplicado",IF(OR(B23="",C23="",D23=""),"Falta cadastro",IF(AND(B23&lt;&gt;"Material",B23&lt;&gt;"Serviço"),"Categoria inválida",IF(OR(NOT(ISNUMBER(E23)),E23&lt;=0),"Quantidade inválida","Completo"))))))</x:f>
      </x:c>
      <x:c r="K48" s="47" t="str">
        <x:f>IF(COUNTA(A23:K23)=0,"",IF(OR(AND(NOT(ISBLANK(F23)),OR(NOT(ISNUMBER(F23)),F23&lt;=0)),AND(NOT(ISBLANK(G23)),OR(NOT(ISNUMBER(G23)),G23&lt;=0)),AND(NOT(ISBLANK(H23)),OR(NOT(ISNUMBER(H23)),H23&lt;=0)),AND(NOT(ISBLANK(I23)),OR(NOT(ISNUMBER(I23)),I23&lt;=0)),AND(NOT(ISBLANK(J23)),OR(NOT(ISNUMBER(J23)),J23&lt;=0)),AND(NOT(ISBLANK(K23)),OR(NOT(ISNUMBER(K23)),K23&lt;=0))),"Preço inválido",IF(B48=0,"Sem preço",IF(B48&lt;3,"Parcial","3 pesquisas"))))</x:f>
      </x:c>
    </x:row>
    <x:row r="49" ht="30" customHeight="1">
      <x:c r="A49" s="2" t="str">
        <x:f>IF(COUNTA(A24:K24)=0,"",IF(A24="","Sem ID",A24))</x:f>
      </x:c>
      <x:c r="B49" s="2" t="str">
        <x:f>IF(COUNTA(A24:K24)=0,"",COUNTIFS(F24:H24,"&gt;0"))</x:f>
      </x:c>
      <x:c r="C49" s="46" t="str">
        <x:f>IF(OR(COUNTA(A24:K24)=0,B49=0),"",ROUND(SUM(IF(AND(ISNUMBER(F24),F24&gt;0),F24,0),IF(AND(ISNUMBER(G24),G24&gt;0),G24,0),IF(AND(ISNUMBER(H24),H24&gt;0),H24,0))/B49,2))</x:f>
      </x:c>
      <x:c r="D49" s="46" t="str">
        <x:f>IF(OR(COUNTA(A24:K24)=0,B49=0),"",ROUND(IF(B49=3,MEDIAN(F24:H24),C49),2))</x:f>
      </x:c>
      <x:c r="E49" s="46" t="str">
        <x:f>IF(OR(COUNTA(A24:K24)=0,B49=0,J49&lt;&gt;"Completo"),"",IF('Auxiliar'!$B$6="Média",C49,IF('Auxiliar'!$B$6="Mediana",D49,"")))</x:f>
      </x:c>
      <x:c r="F49" s="46" t="str">
        <x:f>IF(E49="","",ROUND(E24*E49,2))</x:f>
      </x:c>
      <x:c r="G49" s="46" t="str">
        <x:f>IF(OR(COUNTA(A24:K24)=0,J49&lt;&gt;"Completo",NOT(ISNUMBER(I24)),I24&lt;=0),"",ROUND(E24*I24,2))</x:f>
      </x:c>
      <x:c r="H49" s="46" t="str">
        <x:f>IF(OR(COUNTA(A24:K24)=0,J49&lt;&gt;"Completo",NOT(ISNUMBER(J24)),J24&lt;=0),"",ROUND(E24*J24,2))</x:f>
      </x:c>
      <x:c r="I49" s="46" t="str">
        <x:f>IF(OR(COUNTA(A24:K24)=0,J49&lt;&gt;"Completo",NOT(ISNUMBER(K24)),K24&lt;=0),"",ROUND(E24*K24,2))</x:f>
      </x:c>
      <x:c r="J49" s="47" t="str">
        <x:f>IF(COUNTA(A24:K24)=0,"",IF(A24="","Falta ID",IF(COUNTIFS($A$7:$A$26,A24)&gt;1,"ID duplicado",IF(OR(B24="",C24="",D24=""),"Falta cadastro",IF(AND(B24&lt;&gt;"Material",B24&lt;&gt;"Serviço"),"Categoria inválida",IF(OR(NOT(ISNUMBER(E24)),E24&lt;=0),"Quantidade inválida","Completo"))))))</x:f>
      </x:c>
      <x:c r="K49" s="47" t="str">
        <x:f>IF(COUNTA(A24:K24)=0,"",IF(OR(AND(NOT(ISBLANK(F24)),OR(NOT(ISNUMBER(F24)),F24&lt;=0)),AND(NOT(ISBLANK(G24)),OR(NOT(ISNUMBER(G24)),G24&lt;=0)),AND(NOT(ISBLANK(H24)),OR(NOT(ISNUMBER(H24)),H24&lt;=0)),AND(NOT(ISBLANK(I24)),OR(NOT(ISNUMBER(I24)),I24&lt;=0)),AND(NOT(ISBLANK(J24)),OR(NOT(ISNUMBER(J24)),J24&lt;=0)),AND(NOT(ISBLANK(K24)),OR(NOT(ISNUMBER(K24)),K24&lt;=0))),"Preço inválido",IF(B49=0,"Sem preço",IF(B49&lt;3,"Parcial","3 pesquisas"))))</x:f>
      </x:c>
    </x:row>
    <x:row r="50" ht="30" customHeight="1">
      <x:c r="A50" s="2" t="str">
        <x:f>IF(COUNTA(A25:K25)=0,"",IF(A25="","Sem ID",A25))</x:f>
      </x:c>
      <x:c r="B50" s="2" t="str">
        <x:f>IF(COUNTA(A25:K25)=0,"",COUNTIFS(F25:H25,"&gt;0"))</x:f>
      </x:c>
      <x:c r="C50" s="46" t="str">
        <x:f>IF(OR(COUNTA(A25:K25)=0,B50=0),"",ROUND(SUM(IF(AND(ISNUMBER(F25),F25&gt;0),F25,0),IF(AND(ISNUMBER(G25),G25&gt;0),G25,0),IF(AND(ISNUMBER(H25),H25&gt;0),H25,0))/B50,2))</x:f>
      </x:c>
      <x:c r="D50" s="46" t="str">
        <x:f>IF(OR(COUNTA(A25:K25)=0,B50=0),"",ROUND(IF(B50=3,MEDIAN(F25:H25),C50),2))</x:f>
      </x:c>
      <x:c r="E50" s="46" t="str">
        <x:f>IF(OR(COUNTA(A25:K25)=0,B50=0,J50&lt;&gt;"Completo"),"",IF('Auxiliar'!$B$6="Média",C50,IF('Auxiliar'!$B$6="Mediana",D50,"")))</x:f>
      </x:c>
      <x:c r="F50" s="46" t="str">
        <x:f>IF(E50="","",ROUND(E25*E50,2))</x:f>
      </x:c>
      <x:c r="G50" s="46" t="str">
        <x:f>IF(OR(COUNTA(A25:K25)=0,J50&lt;&gt;"Completo",NOT(ISNUMBER(I25)),I25&lt;=0),"",ROUND(E25*I25,2))</x:f>
      </x:c>
      <x:c r="H50" s="46" t="str">
        <x:f>IF(OR(COUNTA(A25:K25)=0,J50&lt;&gt;"Completo",NOT(ISNUMBER(J25)),J25&lt;=0),"",ROUND(E25*J25,2))</x:f>
      </x:c>
      <x:c r="I50" s="46" t="str">
        <x:f>IF(OR(COUNTA(A25:K25)=0,J50&lt;&gt;"Completo",NOT(ISNUMBER(K25)),K25&lt;=0),"",ROUND(E25*K25,2))</x:f>
      </x:c>
      <x:c r="J50" s="47" t="str">
        <x:f>IF(COUNTA(A25:K25)=0,"",IF(A25="","Falta ID",IF(COUNTIFS($A$7:$A$26,A25)&gt;1,"ID duplicado",IF(OR(B25="",C25="",D25=""),"Falta cadastro",IF(AND(B25&lt;&gt;"Material",B25&lt;&gt;"Serviço"),"Categoria inválida",IF(OR(NOT(ISNUMBER(E25)),E25&lt;=0),"Quantidade inválida","Completo"))))))</x:f>
      </x:c>
      <x:c r="K50" s="47" t="str">
        <x:f>IF(COUNTA(A25:K25)=0,"",IF(OR(AND(NOT(ISBLANK(F25)),OR(NOT(ISNUMBER(F25)),F25&lt;=0)),AND(NOT(ISBLANK(G25)),OR(NOT(ISNUMBER(G25)),G25&lt;=0)),AND(NOT(ISBLANK(H25)),OR(NOT(ISNUMBER(H25)),H25&lt;=0)),AND(NOT(ISBLANK(I25)),OR(NOT(ISNUMBER(I25)),I25&lt;=0)),AND(NOT(ISBLANK(J25)),OR(NOT(ISNUMBER(J25)),J25&lt;=0)),AND(NOT(ISBLANK(K25)),OR(NOT(ISNUMBER(K25)),K25&lt;=0))),"Preço inválido",IF(B50=0,"Sem preço",IF(B50&lt;3,"Parcial","3 pesquisas"))))</x:f>
      </x:c>
    </x:row>
    <x:row r="51" ht="30" customHeight="1">
      <x:c r="A51" s="2" t="str">
        <x:f>IF(COUNTA(A26:K26)=0,"",IF(A26="","Sem ID",A26))</x:f>
      </x:c>
      <x:c r="B51" s="2" t="str">
        <x:f>IF(COUNTA(A26:K26)=0,"",COUNTIFS(F26:H26,"&gt;0"))</x:f>
      </x:c>
      <x:c r="C51" s="46" t="str">
        <x:f>IF(OR(COUNTA(A26:K26)=0,B51=0),"",ROUND(SUM(IF(AND(ISNUMBER(F26),F26&gt;0),F26,0),IF(AND(ISNUMBER(G26),G26&gt;0),G26,0),IF(AND(ISNUMBER(H26),H26&gt;0),H26,0))/B51,2))</x:f>
      </x:c>
      <x:c r="D51" s="46" t="str">
        <x:f>IF(OR(COUNTA(A26:K26)=0,B51=0),"",ROUND(IF(B51=3,MEDIAN(F26:H26),C51),2))</x:f>
      </x:c>
      <x:c r="E51" s="46" t="str">
        <x:f>IF(OR(COUNTA(A26:K26)=0,B51=0,J51&lt;&gt;"Completo"),"",IF('Auxiliar'!$B$6="Média",C51,IF('Auxiliar'!$B$6="Mediana",D51,"")))</x:f>
      </x:c>
      <x:c r="F51" s="46" t="str">
        <x:f>IF(E51="","",ROUND(E26*E51,2))</x:f>
      </x:c>
      <x:c r="G51" s="46" t="str">
        <x:f>IF(OR(COUNTA(A26:K26)=0,J51&lt;&gt;"Completo",NOT(ISNUMBER(I26)),I26&lt;=0),"",ROUND(E26*I26,2))</x:f>
      </x:c>
      <x:c r="H51" s="46" t="str">
        <x:f>IF(OR(COUNTA(A26:K26)=0,J51&lt;&gt;"Completo",NOT(ISNUMBER(J26)),J26&lt;=0),"",ROUND(E26*J26,2))</x:f>
      </x:c>
      <x:c r="I51" s="46" t="str">
        <x:f>IF(OR(COUNTA(A26:K26)=0,J51&lt;&gt;"Completo",NOT(ISNUMBER(K26)),K26&lt;=0),"",ROUND(E26*K26,2))</x:f>
      </x:c>
      <x:c r="J51" s="47" t="str">
        <x:f>IF(COUNTA(A26:K26)=0,"",IF(A26="","Falta ID",IF(COUNTIFS($A$7:$A$26,A26)&gt;1,"ID duplicado",IF(OR(B26="",C26="",D26=""),"Falta cadastro",IF(AND(B26&lt;&gt;"Material",B26&lt;&gt;"Serviço"),"Categoria inválida",IF(OR(NOT(ISNUMBER(E26)),E26&lt;=0),"Quantidade inválida","Completo"))))))</x:f>
      </x:c>
      <x:c r="K51" s="47" t="str">
        <x:f>IF(COUNTA(A26:K26)=0,"",IF(OR(AND(NOT(ISBLANK(F26)),OR(NOT(ISNUMBER(F26)),F26&lt;=0)),AND(NOT(ISBLANK(G26)),OR(NOT(ISNUMBER(G26)),G26&lt;=0)),AND(NOT(ISBLANK(H26)),OR(NOT(ISNUMBER(H26)),H26&lt;=0)),AND(NOT(ISBLANK(I26)),OR(NOT(ISNUMBER(I26)),I26&lt;=0)),AND(NOT(ISBLANK(J26)),OR(NOT(ISNUMBER(J26)),J26&lt;=0)),AND(NOT(ISBLANK(K26)),OR(NOT(ISNUMBER(K26)),K26&lt;=0))),"Preço inválido",IF(B51=0,"Sem preço",IF(B51&lt;3,"Parcial","3 pesquisas"))))</x:f>
      </x:c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4" customHeight="1">
      <x:c r="A54" s="5" t="str">
        <x:v>Referência total = quantidade × referência unitária arredondada para 2 casas. Média e mediana usam somente as pesquisas P1–P3.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24" customHeight="1">
      <x:c r="A56" s="5" t="str">
        <x:v>Os cálculos seguem as 20 linhas de entrada. Para ordenar, selecione todas as colunas A:K da área de entradas.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</x:sheetData>
  <x:conditionalFormatting sqref="J32:J51">
    <x:cfRule type="expression" dxfId="0" priority="1">
      <x:formula>AND(J32&lt;&gt;"",J32&lt;&gt;"Completo")</x:formula>
    </x:cfRule>
  </x:conditionalFormatting>
  <x:conditionalFormatting sqref="K32:K51">
    <x:cfRule type="containsText" dxfId="1" priority="2" operator="containsText" text="Sem preço"/>
    <x:cfRule type="containsText" dxfId="2" priority="3" operator="containsText" text="Preço inválido"/>
  </x:conditionalFormatting>
  <x:conditionalFormatting sqref="F7:K26">
    <x:cfRule type="expression" dxfId="3" priority="4">
      <x:formula>AND(NOT(ISBLANK(F7)),OR(NOT(ISNUMBER(F7)),F7&lt;=0))</x:formula>
    </x:cfRule>
  </x:conditionalFormatting>
  <x:dataValidations count="2">
    <x:dataValidation type="list" sqref="B7:B26">
      <x:formula1>"Material,Serviço"</x:formula1>
    </x:dataValidation>
    <x:dataValidation type="decimal" operator="greaterThan" sqref="E7:K26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8B9A8"/>
  </x:sheetPr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36" hidden="0" customWidth="1"/>
    <x:col min="4" max="4" width="17" hidden="0" customWidth="1"/>
    <x:col min="5" max="5" width="32" hidden="0" customWidth="1"/>
    <x:col min="6" max="6" width="2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Critério e fontes de consulta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5" t="str">
        <x:v>O método selecionado será usado para todos os itens. Preços em branco, zero ou negativos ficam fora da referência.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24" customHeight="1">
      <x:c r="A6" s="2" t="str">
        <x:v>Método</x:v>
      </x:c>
      <x:c r="B6" s="6" t="str">
        <x:v>Média</x:v>
      </x:c>
      <x:c r="C6" s="2"/>
      <x:c r="D6" s="2"/>
      <x:c r="E6" s="2"/>
      <x:c r="F6" s="2"/>
    </x:row>
    <x:row r="7" ht="24" customHeight="1">
      <x:c r="A7" s="2"/>
      <x:c r="B7" s="2"/>
      <x:c r="C7" s="2"/>
      <x:c r="D7" s="2"/>
      <x:c r="E7" s="2"/>
      <x:c r="F7" s="2"/>
    </x:row>
    <x:row r="8" ht="24" customHeight="1">
      <x:c r="A8" s="2" t="str">
        <x:v>Pesquisa P1–P3</x:v>
      </x:c>
      <x:c r="B8" s="2"/>
      <x:c r="C8" s="2" t="str">
        <x:v>Referências de mercado para a média ou mediana.</x:v>
      </x:c>
      <x:c r="D8" s="2"/>
      <x:c r="E8" s="2"/>
      <x:c r="F8" s="2"/>
    </x:row>
    <x:row r="9" ht="24" customHeight="1">
      <x:c r="A9" s="2" t="str">
        <x:v>Proposta F1–F3</x:v>
      </x:c>
      <x:c r="B9" s="2"/>
      <x:c r="C9" s="2" t="str">
        <x:v>Valores recebidos para a mesma cesta de itens.</x:v>
      </x:c>
      <x:c r="D9" s="2"/>
      <x:c r="E9" s="2"/>
      <x:c r="F9" s="2"/>
    </x:row>
    <x:row r="10" ht="24" customHeight="1">
      <x:c r="A10" s="2"/>
      <x:c r="B10" s="2"/>
      <x:c r="C10" s="2"/>
      <x:c r="D10" s="2"/>
      <x:c r="E10" s="2"/>
      <x:c r="F10" s="2"/>
    </x:row>
    <x:row r="11" ht="24" customHeight="1">
      <x:c r="A11" s="2"/>
      <x:c r="B11" s="2"/>
      <x:c r="C11" s="2"/>
      <x:c r="D11" s="2"/>
      <x:c r="E11" s="2"/>
      <x:c r="F11" s="2"/>
    </x:row>
    <x:row r="12" ht="36" customHeight="1">
      <x:c r="A12" s="15" t="str">
        <x:v>Código</x:v>
      </x:c>
      <x:c r="B12" s="16" t="str">
        <x:v>Tipo</x:v>
      </x:c>
      <x:c r="C12" s="16" t="str">
        <x:v>Nome da fonte</x:v>
      </x:c>
      <x:c r="D12" s="16" t="str">
        <x:v>Data da consulta</x:v>
      </x:c>
      <x:c r="E12" s="17" t="str">
        <x:v>Referência ou documento</x:v>
      </x:c>
      <x:c r="F12" s="2"/>
    </x:row>
    <x:row r="13" ht="32" customHeight="1">
      <x:c r="A13" s="2" t="str">
        <x:v>P1</x:v>
      </x:c>
      <x:c r="B13" s="2" t="str">
        <x:v>Pesquisa</x:v>
      </x:c>
      <x:c r="C13" s="27"/>
      <x:c r="D13" s="28"/>
      <x:c r="E13" s="27"/>
      <x:c r="F13" s="2"/>
    </x:row>
    <x:row r="14" ht="32" customHeight="1">
      <x:c r="A14" s="2" t="str">
        <x:v>P2</x:v>
      </x:c>
      <x:c r="B14" s="2" t="str">
        <x:v>Pesquisa</x:v>
      </x:c>
      <x:c r="C14" s="29"/>
      <x:c r="D14" s="30"/>
      <x:c r="E14" s="29"/>
      <x:c r="F14" s="2"/>
    </x:row>
    <x:row r="15" ht="32" customHeight="1">
      <x:c r="A15" s="2" t="str">
        <x:v>P3</x:v>
      </x:c>
      <x:c r="B15" s="2" t="str">
        <x:v>Pesquisa</x:v>
      </x:c>
      <x:c r="C15" s="29"/>
      <x:c r="D15" s="30"/>
      <x:c r="E15" s="29"/>
      <x:c r="F15" s="2"/>
    </x:row>
    <x:row r="16" ht="32" customHeight="1">
      <x:c r="A16" s="2" t="str">
        <x:v>F1</x:v>
      </x:c>
      <x:c r="B16" s="2" t="str">
        <x:v>Proposta</x:v>
      </x:c>
      <x:c r="C16" s="29"/>
      <x:c r="D16" s="30"/>
      <x:c r="E16" s="29"/>
      <x:c r="F16" s="2"/>
    </x:row>
    <x:row r="17" ht="32" customHeight="1">
      <x:c r="A17" s="2" t="str">
        <x:v>F2</x:v>
      </x:c>
      <x:c r="B17" s="2" t="str">
        <x:v>Proposta</x:v>
      </x:c>
      <x:c r="C17" s="29"/>
      <x:c r="D17" s="30"/>
      <x:c r="E17" s="29"/>
      <x:c r="F17" s="2"/>
    </x:row>
    <x:row r="18" ht="32" customHeight="1">
      <x:c r="A18" s="2" t="str">
        <x:v>F3</x:v>
      </x:c>
      <x:c r="B18" s="2" t="str">
        <x:v>Proposta</x:v>
      </x:c>
      <x:c r="C18" s="31"/>
      <x:c r="D18" s="32"/>
      <x:c r="E18" s="31"/>
      <x:c r="F18" s="2"/>
    </x:row>
    <x:row r="19" ht="24" customHeight="1">
      <x:c r="A19" s="2"/>
      <x:c r="B19" s="2"/>
      <x:c r="C19" s="2"/>
      <x:c r="D19" s="2"/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24" customHeight="1">
      <x:c r="A21" s="5" t="str">
        <x:v>Nome e data identificam a fonte. Registre em Referência o documento, consulta ou endereço que fundamenta a cotação.</x:v>
      </x:c>
      <x:c r="B21" s="2"/>
      <x:c r="C21" s="2"/>
      <x:c r="D21" s="2"/>
      <x:c r="E21" s="2"/>
      <x:c r="F21" s="2"/>
    </x:row>
    <x:row r="22" ht="24" customHeight="1">
      <x:c r="A22" s="2"/>
      <x:c r="B22" s="2"/>
      <x:c r="C22" s="2"/>
      <x:c r="D22" s="2"/>
      <x:c r="E22" s="2"/>
      <x:c r="F22" s="2"/>
    </x:row>
    <x:row r="23" ht="24" customHeight="1">
      <x:c r="A23" s="5" t="str">
        <x:v>A versão de exemplo usa dados de demonstração. A versão em branco mantém as fórmulas e as opções de preenchimento.</x:v>
      </x:c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24" customHeight="1">
      <x:c r="A25" s="5" t="str">
        <x:v>Escopo: 20 itens por mapa, 3 referências de pesquisa e 3 fornecedores. Valores devem usar a mesma base de custos.</x:v>
      </x:c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</x:sheetData>
  <x:dataValidations count="1">
    <x:dataValidation type="list" sqref="B6">
      <x:formula1>"Média,Mediana"</x:formula1>
    </x:dataValidation>
  </x:dataValidations>
  <x:pageMargins left="0.7" right="0.7" top="0.75" bottom="0.75" header="0.3" footer="0.3"/>
</x:worksheet>
</file>